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披露复核" sheetId="1" state="visible" r:id="rId1"/>
    <sheet xmlns:r="http://schemas.openxmlformats.org/officeDocument/2006/relationships" name="授权与条款" sheetId="2" state="visible" r:id="rId2"/>
    <sheet xmlns:r="http://schemas.openxmlformats.org/officeDocument/2006/relationships" name="证据及缺口" sheetId="3" state="visible" r:id="rId3"/>
  </sheets>
  <definedNames>
    <definedName name="_xlnm._FilterDatabase" localSheetId="0" hidden="1">'披露复核'!$A$1:$G$22</definedName>
    <definedName name="_xlnm._FilterDatabase" localSheetId="1" hidden="1">'授权与条款'!$A$1:$D$7</definedName>
    <definedName name="_xlnm._FilterDatabase" localSheetId="2" hidden="1">'证据及缺口'!$A$1:$D$5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8" customWidth="1" min="5" max="5"/>
    <col width="24" customWidth="1" min="6" max="6"/>
    <col width="16" customWidth="1" min="7" max="7"/>
  </cols>
  <sheetData>
    <row r="1">
      <c r="A1" s="1" t="inlineStr">
        <is>
          <t>主体/指标</t>
        </is>
      </c>
      <c r="B1" s="1" t="inlineStr">
        <is>
          <t>原披露值</t>
        </is>
      </c>
      <c r="C1" s="1" t="inlineStr">
        <is>
          <t>原单位</t>
        </is>
      </c>
      <c r="D1" s="1" t="inlineStr">
        <is>
          <t>换算值（元）</t>
        </is>
      </c>
      <c r="E1" s="1" t="inlineStr">
        <is>
          <t>核查/计算</t>
        </is>
      </c>
      <c r="F1" s="1" t="inlineStr">
        <is>
          <t>来源</t>
        </is>
      </c>
      <c r="G1" s="1" t="n"/>
    </row>
    <row r="2">
      <c r="A2" s="2" t="inlineStr">
        <is>
          <t>期货公司期初金额</t>
        </is>
      </c>
      <c r="B2" s="3" t="n">
        <v>43985.34</v>
      </c>
      <c r="C2" s="2" t="inlineStr">
        <is>
          <t>万元</t>
        </is>
      </c>
      <c r="D2" s="3">
        <f>B2*10000</f>
        <v/>
      </c>
      <c r="E2" s="2" t="inlineStr">
        <is>
          <t>期间期初存量</t>
        </is>
      </c>
      <c r="F2" s="2" t="inlineStr">
        <is>
          <t>2026半年报 p.24 衍生品投资表</t>
        </is>
      </c>
      <c r="G2" s="2" t="n"/>
    </row>
    <row r="3">
      <c r="A3" s="2" t="inlineStr">
        <is>
          <t>期货公司本期公允价值变动损益</t>
        </is>
      </c>
      <c r="B3" s="3" t="n">
        <v>-4639.58</v>
      </c>
      <c r="C3" s="2" t="inlineStr">
        <is>
          <t>万元</t>
        </is>
      </c>
      <c r="D3" s="3">
        <f>B3*10000</f>
        <v/>
      </c>
      <c r="E3" s="2" t="inlineStr">
        <is>
          <t>期间损益流量</t>
        </is>
      </c>
      <c r="F3" s="2" t="inlineStr">
        <is>
          <t>同上</t>
        </is>
      </c>
      <c r="G3" s="2" t="n"/>
    </row>
    <row r="4">
      <c r="A4" s="2" t="inlineStr">
        <is>
          <t>期货公司计入权益累计公允价值变动</t>
        </is>
      </c>
      <c r="B4" s="3" t="n">
        <v>-10718.22</v>
      </c>
      <c r="C4" s="2" t="inlineStr">
        <is>
          <t>万元</t>
        </is>
      </c>
      <c r="D4" s="3">
        <f>B4*10000</f>
        <v/>
      </c>
      <c r="E4" s="2" t="inlineStr">
        <is>
          <t>累计权益变动，不等同本期损益</t>
        </is>
      </c>
      <c r="F4" s="2" t="inlineStr">
        <is>
          <t>同上</t>
        </is>
      </c>
      <c r="G4" s="2" t="n"/>
    </row>
    <row r="5">
      <c r="A5" s="2" t="inlineStr">
        <is>
          <t>期货公司报告期购入金额</t>
        </is>
      </c>
      <c r="B5" s="3" t="n">
        <v>67976.44</v>
      </c>
      <c r="C5" s="2" t="inlineStr">
        <is>
          <t>万元</t>
        </is>
      </c>
      <c r="D5" s="3">
        <f>B5*10000</f>
        <v/>
      </c>
      <c r="E5" s="2" t="inlineStr">
        <is>
          <t>期间购入流量</t>
        </is>
      </c>
      <c r="F5" s="2" t="inlineStr">
        <is>
          <t>同上</t>
        </is>
      </c>
      <c r="G5" s="2" t="n"/>
    </row>
    <row r="6">
      <c r="A6" s="2" t="inlineStr">
        <is>
          <t>期货公司报告期售出金额</t>
        </is>
      </c>
      <c r="B6" s="3" t="n">
        <v>47100.25</v>
      </c>
      <c r="C6" s="2" t="inlineStr">
        <is>
          <t>万元</t>
        </is>
      </c>
      <c r="D6" s="3">
        <f>B6*10000</f>
        <v/>
      </c>
      <c r="E6" s="2" t="inlineStr">
        <is>
          <t>期间售出流量</t>
        </is>
      </c>
      <c r="F6" s="2" t="inlineStr">
        <is>
          <t>同上</t>
        </is>
      </c>
      <c r="G6" s="2" t="n"/>
    </row>
    <row r="7">
      <c r="A7" s="2" t="inlineStr">
        <is>
          <t>期货公司期末金额</t>
        </is>
      </c>
      <c r="B7" s="3" t="n">
        <v>64041.81</v>
      </c>
      <c r="C7" s="2" t="inlineStr">
        <is>
          <t>万元</t>
        </is>
      </c>
      <c r="D7" s="3">
        <f>B7*10000</f>
        <v/>
      </c>
      <c r="E7" s="2" t="inlineStr">
        <is>
          <t>期末存量；与合计行核对</t>
        </is>
      </c>
      <c r="F7" s="2" t="inlineStr">
        <is>
          <t>同上</t>
        </is>
      </c>
      <c r="G7" s="2" t="n"/>
    </row>
    <row r="8">
      <c r="A8" s="2" t="inlineStr">
        <is>
          <t>期货公司期末金额占净资产</t>
        </is>
      </c>
      <c r="B8" s="4" t="n">
        <v>0.027</v>
      </c>
      <c r="C8" s="2" t="inlineStr">
        <is>
          <t>比例</t>
        </is>
      </c>
      <c r="D8" s="4">
        <f>B8</f>
        <v/>
      </c>
      <c r="E8" s="2" t="inlineStr">
        <is>
          <t>原披露 2.70%</t>
        </is>
      </c>
      <c r="F8" s="2" t="inlineStr">
        <is>
          <t>同上</t>
        </is>
      </c>
      <c r="G8" s="2" t="n"/>
    </row>
    <row r="9">
      <c r="A9" s="2" t="inlineStr">
        <is>
          <t>商业银行本期公允价值变动损益</t>
        </is>
      </c>
      <c r="B9" s="3" t="n">
        <v>-608.01</v>
      </c>
      <c r="C9" s="2" t="inlineStr">
        <is>
          <t>万元</t>
        </is>
      </c>
      <c r="D9" s="3">
        <f>B9*10000</f>
        <v/>
      </c>
      <c r="E9" s="2" t="inlineStr">
        <is>
          <t>期间损益流量</t>
        </is>
      </c>
      <c r="F9" s="2" t="inlineStr">
        <is>
          <t>同上</t>
        </is>
      </c>
      <c r="G9" s="2" t="n"/>
    </row>
    <row r="10">
      <c r="A10" s="2" t="inlineStr">
        <is>
          <t>商业银行计入权益累计公允价值变动</t>
        </is>
      </c>
      <c r="B10" s="3" t="n">
        <v>336.27</v>
      </c>
      <c r="C10" s="2" t="inlineStr">
        <is>
          <t>万元</t>
        </is>
      </c>
      <c r="D10" s="3">
        <f>B10*10000</f>
        <v/>
      </c>
      <c r="E10" s="2" t="inlineStr">
        <is>
          <t>累计权益变动</t>
        </is>
      </c>
      <c r="F10" s="2" t="inlineStr">
        <is>
          <t>同上</t>
        </is>
      </c>
      <c r="G10" s="2" t="n"/>
    </row>
    <row r="11">
      <c r="A11" s="2" t="inlineStr">
        <is>
          <t>合计期初金额</t>
        </is>
      </c>
      <c r="B11" s="3" t="n">
        <v>43985.34</v>
      </c>
      <c r="C11" s="2" t="inlineStr">
        <is>
          <t>万元</t>
        </is>
      </c>
      <c r="D11" s="3">
        <f>B11*10000</f>
        <v/>
      </c>
      <c r="E11" s="2" t="inlineStr">
        <is>
          <t>与期货公司期初勾稽</t>
        </is>
      </c>
      <c r="F11" s="2" t="inlineStr">
        <is>
          <t>同上</t>
        </is>
      </c>
      <c r="G11" s="2" t="n"/>
    </row>
    <row r="12">
      <c r="A12" s="2" t="inlineStr">
        <is>
          <t>合计本期公允价值变动损益</t>
        </is>
      </c>
      <c r="B12" s="3" t="n">
        <v>-5247.59</v>
      </c>
      <c r="C12" s="2" t="inlineStr">
        <is>
          <t>万元</t>
        </is>
      </c>
      <c r="D12" s="3">
        <f>B12*10000</f>
        <v/>
      </c>
      <c r="E12" s="2" t="inlineStr">
        <is>
          <t>应等于期货公司与商业银行之和</t>
        </is>
      </c>
      <c r="F12" s="2" t="inlineStr">
        <is>
          <t>同上</t>
        </is>
      </c>
      <c r="G12" s="2" t="n"/>
    </row>
    <row r="13">
      <c r="A13" s="2" t="inlineStr">
        <is>
          <t>合计计入权益累计公允价值变动</t>
        </is>
      </c>
      <c r="B13" s="3" t="n">
        <v>-10381.95</v>
      </c>
      <c r="C13" s="2" t="inlineStr">
        <is>
          <t>万元</t>
        </is>
      </c>
      <c r="D13" s="3">
        <f>B13*10000</f>
        <v/>
      </c>
      <c r="E13" s="2" t="inlineStr">
        <is>
          <t>应等于期货公司与商业银行之和</t>
        </is>
      </c>
      <c r="F13" s="2" t="inlineStr">
        <is>
          <t>同上</t>
        </is>
      </c>
      <c r="G13" s="2" t="n"/>
    </row>
    <row r="14">
      <c r="A14" s="2" t="inlineStr">
        <is>
          <t>合计购入金额</t>
        </is>
      </c>
      <c r="B14" s="3" t="n">
        <v>67976.44</v>
      </c>
      <c r="C14" s="2" t="inlineStr">
        <is>
          <t>万元</t>
        </is>
      </c>
      <c r="D14" s="3">
        <f>B14*10000</f>
        <v/>
      </c>
      <c r="E14" s="2" t="inlineStr">
        <is>
          <t>与期货公司购入金额勾稽</t>
        </is>
      </c>
      <c r="F14" s="2" t="inlineStr">
        <is>
          <t>同上</t>
        </is>
      </c>
      <c r="G14" s="2" t="n"/>
    </row>
    <row r="15">
      <c r="A15" s="2" t="inlineStr">
        <is>
          <t>合计售出金额</t>
        </is>
      </c>
      <c r="B15" s="3" t="n">
        <v>47100.25</v>
      </c>
      <c r="C15" s="2" t="inlineStr">
        <is>
          <t>万元</t>
        </is>
      </c>
      <c r="D15" s="3">
        <f>B15*10000</f>
        <v/>
      </c>
      <c r="E15" s="2" t="inlineStr">
        <is>
          <t>与期货公司售出金额勾稽</t>
        </is>
      </c>
      <c r="F15" s="2" t="inlineStr">
        <is>
          <t>同上</t>
        </is>
      </c>
      <c r="G15" s="2" t="n"/>
    </row>
    <row r="16">
      <c r="A16" s="2" t="inlineStr">
        <is>
          <t>合计期末金额</t>
        </is>
      </c>
      <c r="B16" s="3" t="n">
        <v>64041.81</v>
      </c>
      <c r="C16" s="2" t="inlineStr">
        <is>
          <t>万元</t>
        </is>
      </c>
      <c r="D16" s="3">
        <f>B16*10000</f>
        <v/>
      </c>
      <c r="E16" s="2" t="inlineStr">
        <is>
          <t>与期货公司期末金额勾稽</t>
        </is>
      </c>
      <c r="F16" s="2" t="inlineStr">
        <is>
          <t>同上</t>
        </is>
      </c>
      <c r="G16" s="2" t="n"/>
    </row>
    <row r="17">
      <c r="A17" s="2" t="inlineStr">
        <is>
          <t>合计期末金额占净资产</t>
        </is>
      </c>
      <c r="B17" s="4" t="n">
        <v>0.027</v>
      </c>
      <c r="C17" s="2" t="inlineStr">
        <is>
          <t>比例</t>
        </is>
      </c>
      <c r="D17" s="4">
        <f>B17</f>
        <v/>
      </c>
      <c r="E17" s="2" t="inlineStr">
        <is>
          <t>原披露 2.70%</t>
        </is>
      </c>
      <c r="F17" s="2" t="inlineStr">
        <is>
          <t>同上</t>
        </is>
      </c>
      <c r="G17" s="2" t="n"/>
    </row>
    <row r="18">
      <c r="A18" s="2" t="inlineStr">
        <is>
          <t>期现相抵实际损益</t>
        </is>
      </c>
      <c r="B18" s="3" t="n">
        <v>290000000</v>
      </c>
      <c r="C18" s="2" t="inlineStr">
        <is>
          <t>元</t>
        </is>
      </c>
      <c r="D18" s="3">
        <f>B18</f>
        <v/>
      </c>
      <c r="E18" s="2" t="inlineStr">
        <is>
          <t>披露约 2.9 亿元；非逐笔重算</t>
        </is>
      </c>
      <c r="F18" s="2" t="inlineStr">
        <is>
          <t>2026半年报 p.24 报告期实际损益说明</t>
        </is>
      </c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勾稽</t>
        </is>
      </c>
      <c r="B20" s="2" t="inlineStr">
        <is>
          <t>期货+银行本期公允价值变动</t>
        </is>
      </c>
      <c r="C20" s="2">
        <f>B3+B9</f>
        <v/>
      </c>
      <c r="D20" s="2" t="inlineStr">
        <is>
          <t>合计披露</t>
        </is>
      </c>
      <c r="E20" s="2">
        <f>B12</f>
        <v/>
      </c>
      <c r="F20" s="2" t="inlineStr">
        <is>
          <t>差异（元）</t>
        </is>
      </c>
      <c r="G20" s="2">
        <f>C20*10000-E20</f>
        <v/>
      </c>
    </row>
    <row r="21">
      <c r="A21" s="2" t="inlineStr">
        <is>
          <t>勾稽</t>
        </is>
      </c>
      <c r="B21" s="2" t="inlineStr">
        <is>
          <t>期货+银行计入权益累计变动</t>
        </is>
      </c>
      <c r="C21" s="2">
        <f>B4+B10</f>
        <v/>
      </c>
      <c r="D21" s="2" t="inlineStr">
        <is>
          <t>合计披露</t>
        </is>
      </c>
      <c r="E21" s="2">
        <f>B13</f>
        <v/>
      </c>
      <c r="F21" s="2" t="inlineStr">
        <is>
          <t>差异（元）</t>
        </is>
      </c>
      <c r="G21" s="2">
        <f>C21*10000-E21</f>
        <v/>
      </c>
    </row>
    <row r="22">
      <c r="A22" s="2" t="inlineStr">
        <is>
          <t>净资产比例复算</t>
        </is>
      </c>
      <c r="B22" s="2" t="inlineStr">
        <is>
          <t>期末合计金额/披露比例</t>
        </is>
      </c>
      <c r="C22" s="2">
        <f>D16/D17</f>
        <v/>
      </c>
      <c r="D22" s="2" t="inlineStr">
        <is>
          <t>披露值</t>
        </is>
      </c>
      <c r="E22" s="2">
        <f>D17</f>
        <v/>
      </c>
      <c r="F22" s="2" t="inlineStr">
        <is>
          <t>复算百分比</t>
        </is>
      </c>
      <c r="G22" s="4">
        <f>C22</f>
        <v/>
      </c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36" customWidth="1" min="3" max="3"/>
    <col width="23" customWidth="1" min="4" max="4"/>
  </cols>
  <sheetData>
    <row r="1">
      <c r="A1" s="1" t="inlineStr">
        <is>
          <t>事项</t>
        </is>
      </c>
      <c r="B1" s="1" t="inlineStr">
        <is>
          <t>复核值/条款</t>
        </is>
      </c>
      <c r="C1" s="1" t="inlineStr">
        <is>
          <t>适用性判断</t>
        </is>
      </c>
      <c r="D1" s="1" t="inlineStr">
        <is>
          <t>来源</t>
        </is>
      </c>
    </row>
    <row r="2">
      <c r="A2" s="2" t="inlineStr">
        <is>
          <t>2025股东会通过日</t>
        </is>
      </c>
      <c r="B2" s="2" t="inlineStr">
        <is>
          <t>2025-08-14</t>
        </is>
      </c>
      <c r="C2" s="2" t="inlineStr">
        <is>
          <t>通过日起12个月滚动使用；覆盖2026H1</t>
        </is>
      </c>
      <c r="D2" s="2" t="inlineStr">
        <is>
          <t>2025决议公告 p.2议案5</t>
        </is>
      </c>
    </row>
    <row r="3">
      <c r="A3" s="2" t="inlineStr">
        <is>
          <t>2025商品套保保证金额度（元）</t>
        </is>
      </c>
      <c r="B3" s="2" t="n">
        <v>4000000000</v>
      </c>
      <c r="C3" s="2" t="inlineStr">
        <is>
          <t>40亿元保证金额度；不含实物交割款</t>
        </is>
      </c>
      <c r="D3" s="2" t="inlineStr">
        <is>
          <t>2025-041公告 p.1-2</t>
        </is>
      </c>
    </row>
    <row r="4">
      <c r="A4" s="2" t="inlineStr">
        <is>
          <t>2025外汇套保额度（元）</t>
        </is>
      </c>
      <c r="B4" s="2" t="n">
        <v>4700000000</v>
      </c>
      <c r="C4" s="2" t="inlineStr">
        <is>
          <t>47亿元最高占用额</t>
        </is>
      </c>
      <c r="D4" s="2" t="inlineStr">
        <is>
          <t>2025-041公告 p.1-2</t>
        </is>
      </c>
    </row>
    <row r="5">
      <c r="A5" s="2" t="inlineStr">
        <is>
          <t>2026后续授权</t>
        </is>
      </c>
      <c r="B5" s="2" t="inlineStr">
        <is>
          <t>2026-08-21股东会通过</t>
        </is>
      </c>
      <c r="C5" s="2" t="inlineStr">
        <is>
          <t>发生在2026H1之后，不追溯适用</t>
        </is>
      </c>
      <c r="D5" s="2" t="inlineStr">
        <is>
          <t>2026-045公告；2026-049决议</t>
        </is>
      </c>
    </row>
    <row r="6">
      <c r="A6" s="2" t="inlineStr">
        <is>
          <t>方案止损目标</t>
        </is>
      </c>
      <c r="B6" s="2" t="n">
        <v>0.1</v>
      </c>
      <c r="C6" s="2" t="inlineStr">
        <is>
          <t>不得超过该方案交易金额10%；套期工具与被套期项目价值变动可合并适用</t>
        </is>
      </c>
      <c r="D6" s="2" t="inlineStr">
        <is>
          <t>管理制度第十三条</t>
        </is>
      </c>
    </row>
    <row r="7">
      <c r="A7" s="2" t="inlineStr">
        <is>
          <t>损失披露条件</t>
        </is>
      </c>
      <c r="B7" s="2" t="inlineStr">
        <is>
          <t>已确认损益及浮动亏损达到最近一年经审计归母净利润的10%且绝对金额超过1000万元</t>
        </is>
      </c>
      <c r="C7" s="2" t="inlineStr">
        <is>
          <t>适用合并计算可包含套期工具与被套期项目变动</t>
        </is>
      </c>
      <c r="D7" s="2" t="inlineStr">
        <is>
          <t>管理制度第三十条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1" customWidth="1" min="4" max="4"/>
  </cols>
  <sheetData>
    <row r="1">
      <c r="A1" s="1" t="inlineStr">
        <is>
          <t>证据状态/事项</t>
        </is>
      </c>
      <c r="B1" s="1" t="inlineStr">
        <is>
          <t>当前可得材料</t>
        </is>
      </c>
      <c r="C1" s="1" t="inlineStr">
        <is>
          <t>缺少的证据</t>
        </is>
      </c>
      <c r="D1" s="1" t="inlineStr">
        <is>
          <t>影响/后续动作</t>
        </is>
      </c>
    </row>
    <row r="2">
      <c r="A2" s="2" t="inlineStr">
        <is>
          <t>公开披露锚点</t>
        </is>
      </c>
      <c r="B2" s="2" t="inlineStr">
        <is>
          <t>2026H1半年报衍生品汇总表与2.9亿元期现相抵损益披露</t>
        </is>
      </c>
      <c r="C2" s="2" t="inlineStr">
        <is>
          <t>逐笔采购、销售、库存、定价日、数量和作价记录</t>
        </is>
      </c>
      <c r="D2" s="2" t="inlineStr">
        <is>
          <t>不能重建现货敞口或重算期现综合损益；补取期间逐笔现货台账</t>
        </is>
      </c>
    </row>
    <row r="3">
      <c r="A3" s="2" t="inlineStr">
        <is>
          <t>衍生品交易快照</t>
        </is>
      </c>
      <c r="B3" s="2" t="inlineStr">
        <is>
          <t>半年报汇总列示期货公司/商业银行金额</t>
        </is>
      </c>
      <c r="C3" s="2" t="inlineStr">
        <is>
          <t>完整成交、持仓、结算、保证金账户、交易主体和交易所参数快照</t>
        </is>
      </c>
      <c r="D3" s="2" t="inlineStr">
        <is>
          <t>不能计算手数、敞口、保证金占用或验证额度使用；补取经纪商结算单及内部账户日快照</t>
        </is>
      </c>
    </row>
    <row r="4">
      <c r="A4" s="2" t="inlineStr">
        <is>
          <t>方案级风险控制</t>
        </is>
      </c>
      <c r="B4" s="2" t="inlineStr">
        <is>
          <t>管理制度描述止损及审批流程</t>
        </is>
      </c>
      <c r="C4" s="2" t="inlineStr">
        <is>
          <t>各套保方案、审批单、建仓/平仓、止损触发和例外审批记录</t>
        </is>
      </c>
      <c r="D4" s="2" t="inlineStr">
        <is>
          <t>不能判断方案级止损执行或是否存在裸露投机；逐方案补件后复核</t>
        </is>
      </c>
    </row>
    <row r="5">
      <c r="A5" s="2" t="inlineStr">
        <is>
          <t>期现主体对应</t>
        </is>
      </c>
      <c r="B5" s="2" t="inlineStr">
        <is>
          <t>2025公告说明交易主体与现货主体未能一一对应</t>
        </is>
      </c>
      <c r="C5" s="2" t="inlineStr">
        <is>
          <t>公司内部主体映射、套保指定关系及会计分摊依据</t>
        </is>
      </c>
      <c r="D5" s="2" t="inlineStr">
        <is>
          <t>单凭公开汇总无法逐实体配对；补取主体映射和指定文档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2026-10-13T18:10:00Z</dcterms:created>
  <dcterms:modified xmlns:dcterms="http://purl.org/dc/terms/" xmlns:xsi="http://www.w3.org/2001/XMLSchema-instance" xsi:type="dcterms:W3CDTF">2026-10-13T18:10:00Z</dcterms:modified>
</cp:coreProperties>
</file>
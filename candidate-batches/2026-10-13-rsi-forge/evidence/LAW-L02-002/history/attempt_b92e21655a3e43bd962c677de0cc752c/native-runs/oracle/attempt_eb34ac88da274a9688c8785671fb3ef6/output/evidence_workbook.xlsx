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材料索引" sheetId="1" state="visible" r:id="rId2"/>
    <sheet name="案件登记" sheetId="2" state="visible" r:id="rId3"/>
    <sheet name="金额汇总" sheetId="3" state="visible" r:id="rId4"/>
    <sheet name="补件台账" sheetId="4" state="visible" r:id="rId5"/>
  </sheets>
  <definedNames>
    <definedName function="false" hidden="true" localSheetId="0" name="_xlnm._FilterDatabase" vbProcedure="false">材料索引!$A$1:$H$2</definedName>
    <definedName function="false" hidden="true" localSheetId="1" name="_xlnm._FilterDatabase" vbProcedure="false">案件登记!$A$1:$O$24</definedName>
    <definedName function="false" hidden="true" localSheetId="3" name="_xlnm._FilterDatabase" vbProcedure="false">补件台账!$A$1:$F$11</definedName>
    <definedName function="false" hidden="true" localSheetId="2" name="_xlnm._FilterDatabase" vbProcedure="false">金额汇总!$A$1:$D$7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<sst xmlns="http://schemas.openxmlformats.org/spreadsheetml/2006/main" count="394" uniqueCount="255">
  <si>
    <t xml:space="preserve">内部整理码</t>
  </si>
  <si>
    <t xml:space="preserve">材料名称</t>
  </si>
  <si>
    <t xml:space="preserve">材料类型</t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</si>
  <si>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身份</t>
    </r>
  </si>
  <si>
    <t xml:space="preserve">披露日期</t>
  </si>
  <si>
    <t xml:space="preserve">页数</t>
  </si>
  <si>
    <t xml:space="preserve">用途及限制</t>
  </si>
  <si>
    <t xml:space="preserve">核验状态</t>
  </si>
  <si>
    <t xml:space="preserve">SRC-01</t>
  </si>
  <si>
    <r>
      <rPr>
        <sz val="11"/>
        <color rgb="FF000000"/>
        <rFont val="Calibri"/>
        <family val="2"/>
        <charset val="1"/>
      </rPr>
      <t xml:space="preserve">CN-1225489930_</t>
    </r>
    <r>
      <rPr>
        <sz val="11"/>
        <color rgb="FF000000"/>
        <rFont val="Noto Sans CJK SC"/>
        <family val="2"/>
      </rPr>
      <t xml:space="preserve">重庆建工涉及诉讼公告</t>
    </r>
    <r>
      <rPr>
        <sz val="11"/>
        <color rgb="FF000000"/>
        <rFont val="Calibri"/>
        <family val="2"/>
        <charset val="1"/>
      </rPr>
      <t xml:space="preserve">_2026-08-22.pdf</t>
    </r>
  </si>
  <si>
    <r>
      <rPr>
        <sz val="11"/>
        <color rgb="FF000000"/>
        <rFont val="Calibri"/>
        <family val="2"/>
        <charset val="1"/>
      </rPr>
      <t xml:space="preserve">PDF</t>
    </r>
    <r>
      <rPr>
        <sz val="11"/>
        <color rgb="FF000000"/>
        <rFont val="Noto Sans CJK SC"/>
        <family val="2"/>
      </rPr>
      <t xml:space="preserve">公告原件</t>
    </r>
  </si>
  <si>
    <r>
      <rPr>
        <sz val="11"/>
        <color rgb="FF000000"/>
        <rFont val="Noto Sans CJK SC"/>
        <family val="2"/>
      </rPr>
      <t xml:space="preserve">重庆建工集团股份有限公司，公告编号临</t>
    </r>
    <r>
      <rPr>
        <sz val="11"/>
        <color rgb="FF000000"/>
        <rFont val="Calibri"/>
        <family val="2"/>
        <charset val="1"/>
      </rPr>
      <t xml:space="preserve">2026-043</t>
    </r>
  </si>
  <si>
    <t xml:space="preserve">2026-08-22</t>
  </si>
  <si>
    <t xml:space="preserve">用于登记公告转述的案件身份、金额、法院和进展；不能替代原始证据或裁判文书</t>
  </si>
  <si>
    <t xml:space="preserve">文件哈希与资源库原件一致</t>
  </si>
  <si>
    <t xml:space="preserve">公告分组</t>
  </si>
  <si>
    <t xml:space="preserve">公告序号</t>
  </si>
  <si>
    <t xml:space="preserve">原告（公告）</t>
  </si>
  <si>
    <t xml:space="preserve">被告（公告）</t>
  </si>
  <si>
    <t xml:space="preserve">案由（公告）</t>
  </si>
  <si>
    <t xml:space="preserve">案号（公告）</t>
  </si>
  <si>
    <t xml:space="preserve">涉案金额（万元）</t>
  </si>
  <si>
    <t xml:space="preserve">受理法院（公告）</t>
  </si>
  <si>
    <t xml:space="preserve">公告所述进展</t>
  </si>
  <si>
    <t xml:space="preserve">公告页码</t>
  </si>
  <si>
    <t xml:space="preserve">程序事件日</t>
  </si>
  <si>
    <t xml:space="preserve">事实角色</t>
  </si>
  <si>
    <t xml:space="preserve">提交编号</t>
  </si>
  <si>
    <t xml:space="preserve">ANN-20260822-N01</t>
  </si>
  <si>
    <t xml:space="preserve">本次新案</t>
  </si>
  <si>
    <t xml:space="preserve">重庆交通建设（集团）有限责任公司</t>
  </si>
  <si>
    <t xml:space="preserve">泸溪县干线公路建设有限责任公司</t>
  </si>
  <si>
    <t xml:space="preserve">建设工程合同纠纷</t>
  </si>
  <si>
    <r>
      <rPr>
        <sz val="11"/>
        <color rgb="FF000000"/>
        <rFont val="Calibri"/>
        <family val="2"/>
        <charset val="1"/>
      </rPr>
      <t xml:space="preserve">(2026)</t>
    </r>
    <r>
      <rPr>
        <sz val="11"/>
        <color rgb="FF000000"/>
        <rFont val="Noto Sans CJK SC"/>
        <family val="2"/>
      </rPr>
      <t xml:space="preserve">湘</t>
    </r>
    <r>
      <rPr>
        <sz val="11"/>
        <color rgb="FF000000"/>
        <rFont val="Calibri"/>
        <family val="2"/>
        <charset val="1"/>
      </rPr>
      <t xml:space="preserve">3122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CJK SC"/>
        <family val="2"/>
      </rPr>
      <t xml:space="preserve">号</t>
    </r>
  </si>
  <si>
    <t xml:space="preserve">湖南省泸溪县人民法院</t>
  </si>
  <si>
    <t xml:space="preserve">目前一审审理中。</t>
  </si>
  <si>
    <t xml:space="preserve">1</t>
  </si>
  <si>
    <r>
      <rPr>
        <sz val="11"/>
        <color rgb="FF000000"/>
        <rFont val="Noto Sans CJK SC"/>
        <family val="2"/>
      </rPr>
      <t xml:space="preserve">发行人公告摘要；案情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程序为公告转述，未经原始卷宗独立核验</t>
    </r>
  </si>
  <si>
    <t xml:space="preserve">与公告原件页码核对；底层事实待调卷核验</t>
  </si>
  <si>
    <t xml:space="preserve">N01</t>
  </si>
  <si>
    <t xml:space="preserve">ANN-20260822-N02</t>
  </si>
  <si>
    <t xml:space="preserve">重庆建工</t>
  </si>
  <si>
    <t xml:space="preserve">四川巴中宏德置业有限公司</t>
  </si>
  <si>
    <r>
      <rPr>
        <sz val="11"/>
        <color rgb="FF000000"/>
        <rFont val="Calibri"/>
        <family val="2"/>
        <charset val="1"/>
      </rPr>
      <t xml:space="preserve">(2026)</t>
    </r>
    <r>
      <rPr>
        <sz val="11"/>
        <color rgb="FF000000"/>
        <rFont val="Noto Sans CJK SC"/>
        <family val="2"/>
      </rPr>
      <t xml:space="preserve">川</t>
    </r>
    <r>
      <rPr>
        <sz val="11"/>
        <color rgb="FF000000"/>
        <rFont val="Calibri"/>
        <family val="2"/>
        <charset val="1"/>
      </rPr>
      <t xml:space="preserve">1902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4724</t>
    </r>
    <r>
      <rPr>
        <sz val="11"/>
        <color rgb="FF000000"/>
        <rFont val="Noto Sans CJK SC"/>
        <family val="2"/>
      </rPr>
      <t xml:space="preserve">号</t>
    </r>
  </si>
  <si>
    <t xml:space="preserve">巴中市巴州区人民法院</t>
  </si>
  <si>
    <t xml:space="preserve">N02</t>
  </si>
  <si>
    <t xml:space="preserve">ANN-20260822-N03</t>
  </si>
  <si>
    <t xml:space="preserve">云阳县宏荣路桥工程有限公司</t>
  </si>
  <si>
    <t xml:space="preserve">建设工程施工合同纠纷</t>
  </si>
  <si>
    <r>
      <rPr>
        <sz val="11"/>
        <color rgb="FF000000"/>
        <rFont val="Calibri"/>
        <family val="2"/>
        <charset val="1"/>
      </rPr>
      <t xml:space="preserve">(2026)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0235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6507</t>
    </r>
    <r>
      <rPr>
        <sz val="11"/>
        <color rgb="FF000000"/>
        <rFont val="Noto Sans CJK SC"/>
        <family val="2"/>
      </rPr>
      <t xml:space="preserve">号</t>
    </r>
  </si>
  <si>
    <t xml:space="preserve">云阳县人民法院</t>
  </si>
  <si>
    <t xml:space="preserve">2</t>
  </si>
  <si>
    <t xml:space="preserve">N03</t>
  </si>
  <si>
    <t xml:space="preserve">ANN-20260822-N04</t>
  </si>
  <si>
    <t xml:space="preserve">重庆工业设备安装集团有限公司</t>
  </si>
  <si>
    <t xml:space="preserve">赛鼎工程有限公司、阿拉善盟东海新能源实业有限公司、阿拉善盟沪蒙能源实业有限公司</t>
  </si>
  <si>
    <r>
      <rPr>
        <sz val="11"/>
        <color rgb="FF000000"/>
        <rFont val="Calibri"/>
        <family val="2"/>
        <charset val="1"/>
      </rPr>
      <t xml:space="preserve">(2026)</t>
    </r>
    <r>
      <rPr>
        <sz val="11"/>
        <color rgb="FF000000"/>
        <rFont val="Noto Sans CJK SC"/>
        <family val="2"/>
      </rPr>
      <t xml:space="preserve">内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号</t>
    </r>
  </si>
  <si>
    <t xml:space="preserve">内蒙古自治区阿拉善盟中级人民法院</t>
  </si>
  <si>
    <t xml:space="preserve">N04</t>
  </si>
  <si>
    <t xml:space="preserve">ANN-20260822-P01</t>
  </si>
  <si>
    <t xml:space="preserve">前期披露案件</t>
  </si>
  <si>
    <t xml:space="preserve">毕节市博泰房地产开发有限责任公司</t>
  </si>
  <si>
    <r>
      <rPr>
        <sz val="11"/>
        <color rgb="FF000000"/>
        <rFont val="Calibri"/>
        <family val="2"/>
        <charset val="1"/>
      </rPr>
      <t xml:space="preserve">(2017)</t>
    </r>
    <r>
      <rPr>
        <sz val="11"/>
        <color rgb="FF000000"/>
        <rFont val="Noto Sans CJK SC"/>
        <family val="2"/>
      </rPr>
      <t xml:space="preserve">黔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187</t>
    </r>
    <r>
      <rPr>
        <sz val="11"/>
        <color rgb="FF000000"/>
        <rFont val="Noto Sans CJK SC"/>
        <family val="2"/>
      </rPr>
      <t xml:space="preserve">号</t>
    </r>
  </si>
  <si>
    <t xml:space="preserve">贵州省毕节市中级人民法院、贵州省高级人民法院</t>
  </si>
  <si>
    <r>
      <rPr>
        <sz val="11"/>
        <color rgb="FF000000"/>
        <rFont val="Noto Sans CJK SC"/>
        <family val="2"/>
      </rPr>
      <t xml:space="preserve">一审判决被告支付工程款</t>
    </r>
    <r>
      <rPr>
        <sz val="11"/>
        <color rgb="FF000000"/>
        <rFont val="Calibri"/>
        <family val="2"/>
        <charset val="1"/>
      </rPr>
      <t xml:space="preserve">680.64</t>
    </r>
    <r>
      <rPr>
        <sz val="11"/>
        <color rgb="FF000000"/>
        <rFont val="Noto Sans CJK SC"/>
        <family val="2"/>
      </rPr>
      <t xml:space="preserve">万元、保修金</t>
    </r>
    <r>
      <rPr>
        <sz val="11"/>
        <color rgb="FF000000"/>
        <rFont val="Calibri"/>
        <family val="2"/>
        <charset val="1"/>
      </rPr>
      <t xml:space="preserve">315.56</t>
    </r>
    <r>
      <rPr>
        <sz val="11"/>
        <color rgb="FF000000"/>
        <rFont val="Noto Sans CJK SC"/>
        <family val="2"/>
      </rPr>
      <t xml:space="preserve">万元及利息；二审驳回上诉、维持原判；被告已履行完毕。</t>
    </r>
  </si>
  <si>
    <t xml:space="preserve">P01</t>
  </si>
  <si>
    <t xml:space="preserve">ANN-20260822-P02</t>
  </si>
  <si>
    <t xml:space="preserve">中京博泰毕节地产置业有限公司、毕节市博泰房地产开发有限责任公司</t>
  </si>
  <si>
    <r>
      <rPr>
        <sz val="11"/>
        <color rgb="FF000000"/>
        <rFont val="Calibri"/>
        <family val="2"/>
        <charset val="1"/>
      </rPr>
      <t xml:space="preserve">(2017)</t>
    </r>
    <r>
      <rPr>
        <sz val="11"/>
        <color rgb="FF000000"/>
        <rFont val="Noto Sans CJK SC"/>
        <family val="2"/>
      </rPr>
      <t xml:space="preserve">黔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188</t>
    </r>
    <r>
      <rPr>
        <sz val="11"/>
        <color rgb="FF000000"/>
        <rFont val="Noto Sans CJK SC"/>
        <family val="2"/>
      </rPr>
      <t xml:space="preserve">号</t>
    </r>
  </si>
  <si>
    <r>
      <rPr>
        <sz val="11"/>
        <color rgb="FF000000"/>
        <rFont val="Noto Sans CJK SC"/>
        <family val="2"/>
      </rPr>
      <t xml:space="preserve">一审判决支付工程款</t>
    </r>
    <r>
      <rPr>
        <sz val="11"/>
        <color rgb="FF000000"/>
        <rFont val="Calibri"/>
        <family val="2"/>
        <charset val="1"/>
      </rPr>
      <t xml:space="preserve">2,179.04</t>
    </r>
    <r>
      <rPr>
        <sz val="11"/>
        <color rgb="FF000000"/>
        <rFont val="Noto Sans CJK SC"/>
        <family val="2"/>
      </rPr>
      <t xml:space="preserve">万元（含</t>
    </r>
    <r>
      <rPr>
        <sz val="11"/>
        <color rgb="FF000000"/>
        <rFont val="Calibri"/>
        <family val="2"/>
        <charset val="1"/>
      </rPr>
      <t xml:space="preserve">500.00</t>
    </r>
    <r>
      <rPr>
        <sz val="11"/>
        <color rgb="FF000000"/>
        <rFont val="Noto Sans CJK SC"/>
        <family val="2"/>
      </rPr>
      <t xml:space="preserve">万元补偿金）及利息、保证金</t>
    </r>
    <r>
      <rPr>
        <sz val="11"/>
        <color rgb="FF000000"/>
        <rFont val="Calibri"/>
        <family val="2"/>
        <charset val="1"/>
      </rPr>
      <t xml:space="preserve">148.15</t>
    </r>
    <r>
      <rPr>
        <sz val="11"/>
        <color rgb="FF000000"/>
        <rFont val="Noto Sans CJK SC"/>
        <family val="2"/>
      </rPr>
      <t xml:space="preserve">万元及利息；另一被告对补偿金及利息承担连带责任；二审维持原判，已履行完毕。</t>
    </r>
  </si>
  <si>
    <t xml:space="preserve">P02</t>
  </si>
  <si>
    <t xml:space="preserve">ANN-20260822-P03</t>
  </si>
  <si>
    <t xml:space="preserve">重庆城建控股（集团）有限责任公司</t>
  </si>
  <si>
    <t xml:space="preserve">重庆双驰建筑劳务有限公司、廖世华（第三人）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</si>
  <si>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皖</t>
    </r>
    <r>
      <rPr>
        <sz val="11"/>
        <color rgb="FF000000"/>
        <rFont val="Calibri"/>
        <family val="2"/>
        <charset val="1"/>
      </rPr>
      <t xml:space="preserve">1202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8782</t>
    </r>
    <r>
      <rPr>
        <sz val="11"/>
        <color rgb="FF000000"/>
        <rFont val="Noto Sans CJK SC"/>
        <family val="2"/>
      </rPr>
      <t xml:space="preserve">号</t>
    </r>
  </si>
  <si>
    <t xml:space="preserve">安徽省阜阳市颍州区人民法院、安徽省阜阳市中级人民法院</t>
  </si>
  <si>
    <t xml:space="preserve">一审驳回原告诉请，二审维持；被告不承担责任。</t>
  </si>
  <si>
    <t xml:space="preserve">P03</t>
  </si>
  <si>
    <t xml:space="preserve">ANN-20260822-P04</t>
  </si>
  <si>
    <t xml:space="preserve">阿勒泰卓渝建筑工程有限责任公司</t>
  </si>
  <si>
    <t xml:space="preserve">贵州西凯三友房地产开发有限公司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</si>
  <si>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黔</t>
    </r>
    <r>
      <rPr>
        <sz val="11"/>
        <color rgb="FF000000"/>
        <rFont val="Calibri"/>
        <family val="2"/>
        <charset val="1"/>
      </rPr>
      <t xml:space="preserve">0526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10454</t>
    </r>
    <r>
      <rPr>
        <sz val="11"/>
        <color rgb="FF000000"/>
        <rFont val="Noto Sans CJK SC"/>
        <family val="2"/>
      </rPr>
      <t xml:space="preserve">号</t>
    </r>
  </si>
  <si>
    <t xml:space="preserve">贵州省威宁彝族回族苗族自治县人民法院</t>
  </si>
  <si>
    <r>
      <rPr>
        <sz val="11"/>
        <color rgb="FF000000"/>
        <rFont val="Noto Sans CJK SC"/>
        <family val="2"/>
      </rPr>
      <t xml:space="preserve">一审判决支付工程款</t>
    </r>
    <r>
      <rPr>
        <sz val="11"/>
        <color rgb="FF000000"/>
        <rFont val="Calibri"/>
        <family val="2"/>
        <charset val="1"/>
      </rPr>
      <t xml:space="preserve">2,874.09</t>
    </r>
    <r>
      <rPr>
        <sz val="11"/>
        <color rgb="FF000000"/>
        <rFont val="Noto Sans CJK SC"/>
        <family val="2"/>
      </rPr>
      <t xml:space="preserve">万元及利息、质保金</t>
    </r>
    <r>
      <rPr>
        <sz val="11"/>
        <color rgb="FF000000"/>
        <rFont val="Calibri"/>
        <family val="2"/>
        <charset val="1"/>
      </rPr>
      <t xml:space="preserve">444.46</t>
    </r>
    <r>
      <rPr>
        <sz val="11"/>
        <color rgb="FF000000"/>
        <rFont val="Noto Sans CJK SC"/>
        <family val="2"/>
      </rPr>
      <t xml:space="preserve">万元及利息，七建公司享有优先受偿权；被告已履行完毕。</t>
    </r>
  </si>
  <si>
    <t xml:space="preserve">P04</t>
  </si>
  <si>
    <t xml:space="preserve">ANN-20260822-P05</t>
  </si>
  <si>
    <t xml:space="preserve">重庆建工市政交通工程有限责任公司</t>
  </si>
  <si>
    <t xml:space="preserve">重庆迈瑞城市建设投资有限责任公司、重庆丰文实业有限公司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</si>
  <si>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3454</t>
    </r>
    <r>
      <rPr>
        <sz val="11"/>
        <color rgb="FF000000"/>
        <rFont val="Noto Sans CJK SC"/>
        <family val="2"/>
      </rPr>
      <t xml:space="preserve">号</t>
    </r>
  </si>
  <si>
    <t xml:space="preserve">重庆市沙坪坝区人民法院</t>
  </si>
  <si>
    <r>
      <rPr>
        <sz val="11"/>
        <color rgb="FF000000"/>
        <rFont val="Noto Sans CJK SC"/>
        <family val="2"/>
      </rPr>
      <t xml:space="preserve">一审判决支付工程款</t>
    </r>
    <r>
      <rPr>
        <sz val="11"/>
        <color rgb="FF000000"/>
        <rFont val="Calibri"/>
        <family val="2"/>
        <charset val="1"/>
      </rPr>
      <t xml:space="preserve">6,337.79</t>
    </r>
    <r>
      <rPr>
        <sz val="11"/>
        <color rgb="FF000000"/>
        <rFont val="Noto Sans CJK SC"/>
        <family val="2"/>
      </rPr>
      <t xml:space="preserve">万元及利息；被告已履行完毕。</t>
    </r>
  </si>
  <si>
    <t xml:space="preserve">P05</t>
  </si>
  <si>
    <t xml:space="preserve">ANN-20260822-P06</t>
  </si>
  <si>
    <t xml:space="preserve">重庆市武隆区建设投资（集团）有限公司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</si>
  <si>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0156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696</t>
    </r>
    <r>
      <rPr>
        <sz val="11"/>
        <color rgb="FF000000"/>
        <rFont val="Noto Sans CJK SC"/>
        <family val="2"/>
      </rPr>
      <t xml:space="preserve">号</t>
    </r>
  </si>
  <si>
    <t xml:space="preserve">重庆市武隆区人民法院</t>
  </si>
  <si>
    <r>
      <rPr>
        <sz val="11"/>
        <color rgb="FF000000"/>
        <rFont val="Noto Sans CJK SC"/>
        <family val="2"/>
      </rPr>
      <t xml:space="preserve">一审判决支付工程款</t>
    </r>
    <r>
      <rPr>
        <sz val="11"/>
        <color rgb="FF000000"/>
        <rFont val="Calibri"/>
        <family val="2"/>
        <charset val="1"/>
      </rPr>
      <t xml:space="preserve">680.58</t>
    </r>
    <r>
      <rPr>
        <sz val="11"/>
        <color rgb="FF000000"/>
        <rFont val="Noto Sans CJK SC"/>
        <family val="2"/>
      </rPr>
      <t xml:space="preserve">万元及利息；被告已履行完毕。</t>
    </r>
  </si>
  <si>
    <t xml:space="preserve">2, 3</t>
  </si>
  <si>
    <t xml:space="preserve">P06</t>
  </si>
  <si>
    <t xml:space="preserve">ANN-20260822-P07</t>
  </si>
  <si>
    <t xml:space="preserve">重庆腾希置业发展有限公司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</si>
  <si>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0118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1537</t>
    </r>
    <r>
      <rPr>
        <sz val="11"/>
        <color rgb="FF000000"/>
        <rFont val="Noto Sans CJK SC"/>
        <family val="2"/>
      </rPr>
      <t xml:space="preserve">号</t>
    </r>
  </si>
  <si>
    <t xml:space="preserve">重庆市永川区人民法院、重庆市第五中级人民法院</t>
  </si>
  <si>
    <r>
      <rPr>
        <sz val="11"/>
        <color rgb="FF000000"/>
        <rFont val="Noto Sans CJK SC"/>
        <family val="2"/>
      </rPr>
      <t xml:space="preserve">一审判决工程款</t>
    </r>
    <r>
      <rPr>
        <sz val="11"/>
        <color rgb="FF000000"/>
        <rFont val="Calibri"/>
        <family val="2"/>
        <charset val="1"/>
      </rPr>
      <t xml:space="preserve">7,433.64</t>
    </r>
    <r>
      <rPr>
        <sz val="11"/>
        <color rgb="FF000000"/>
        <rFont val="Noto Sans CJK SC"/>
        <family val="2"/>
      </rPr>
      <t xml:space="preserve">万元及资金占用损失并确认优先受偿权；二审工程款改为</t>
    </r>
    <r>
      <rPr>
        <sz val="11"/>
        <color rgb="FF000000"/>
        <rFont val="Calibri"/>
        <family val="2"/>
        <charset val="1"/>
      </rPr>
      <t xml:space="preserve">5,758.31</t>
    </r>
    <r>
      <rPr>
        <sz val="11"/>
        <color rgb="FF000000"/>
        <rFont val="Noto Sans CJK SC"/>
        <family val="2"/>
      </rPr>
      <t xml:space="preserve">万元及资金占用损失，优先受偿权保留；判决已履行完毕。</t>
    </r>
  </si>
  <si>
    <t xml:space="preserve">3</t>
  </si>
  <si>
    <t xml:space="preserve">P07</t>
  </si>
  <si>
    <t xml:space="preserve">ANN-20260822-P08</t>
  </si>
  <si>
    <t xml:space="preserve">四川煤气化有限责任公司</t>
  </si>
  <si>
    <r>
      <rPr>
        <sz val="11"/>
        <color rgb="FF000000"/>
        <rFont val="Calibri"/>
        <family val="2"/>
        <charset val="1"/>
      </rPr>
      <t xml:space="preserve">(2019)</t>
    </r>
    <r>
      <rPr>
        <sz val="11"/>
        <color rgb="FF000000"/>
        <rFont val="Noto Sans CJK SC"/>
        <family val="2"/>
      </rPr>
      <t xml:space="preserve">川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59</t>
    </r>
    <r>
      <rPr>
        <sz val="11"/>
        <color rgb="FF000000"/>
        <rFont val="Noto Sans CJK SC"/>
        <family val="2"/>
      </rPr>
      <t xml:space="preserve">号</t>
    </r>
  </si>
  <si>
    <t xml:space="preserve">四川省泸州市中级人民法院</t>
  </si>
  <si>
    <r>
      <rPr>
        <sz val="11"/>
        <color rgb="FF000000"/>
        <rFont val="Noto Sans CJK SC"/>
        <family val="2"/>
      </rPr>
      <t xml:space="preserve">一审判决工程款</t>
    </r>
    <r>
      <rPr>
        <sz val="11"/>
        <color rgb="FF000000"/>
        <rFont val="Calibri"/>
        <family val="2"/>
        <charset val="1"/>
      </rPr>
      <t xml:space="preserve">5,878.82</t>
    </r>
    <r>
      <rPr>
        <sz val="11"/>
        <color rgb="FF000000"/>
        <rFont val="Noto Sans CJK SC"/>
        <family val="2"/>
      </rPr>
      <t xml:space="preserve">万元、保证金</t>
    </r>
    <r>
      <rPr>
        <sz val="11"/>
        <color rgb="FF000000"/>
        <rFont val="Calibri"/>
        <family val="2"/>
        <charset val="1"/>
      </rPr>
      <t xml:space="preserve">80.00</t>
    </r>
    <r>
      <rPr>
        <sz val="11"/>
        <color rgb="FF000000"/>
        <rFont val="Noto Sans CJK SC"/>
        <family val="2"/>
      </rPr>
      <t xml:space="preserve">万元及利息，确认优先受偿权；债务人破产，原告分配两笔共</t>
    </r>
    <r>
      <rPr>
        <sz val="11"/>
        <color rgb="FF000000"/>
        <rFont val="Calibri"/>
        <family val="2"/>
        <charset val="1"/>
      </rPr>
      <t xml:space="preserve">2,856.23</t>
    </r>
    <r>
      <rPr>
        <sz val="11"/>
        <color rgb="FF000000"/>
        <rFont val="Noto Sans CJK SC"/>
        <family val="2"/>
      </rPr>
      <t xml:space="preserve">万元后公司注销，本案结案。</t>
    </r>
  </si>
  <si>
    <t xml:space="preserve">P08</t>
  </si>
  <si>
    <t xml:space="preserve">ANN-20260822-P09</t>
  </si>
  <si>
    <t xml:space="preserve">重庆建工工业有限公司</t>
  </si>
  <si>
    <t xml:space="preserve">龚节华</t>
  </si>
  <si>
    <r>
      <rPr>
        <sz val="11"/>
        <color rgb="FF000000"/>
        <rFont val="Calibri"/>
        <family val="2"/>
        <charset val="1"/>
      </rPr>
      <t xml:space="preserve">(2023)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0116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10045</t>
    </r>
    <r>
      <rPr>
        <sz val="11"/>
        <color rgb="FF000000"/>
        <rFont val="Noto Sans CJK SC"/>
        <family val="2"/>
      </rPr>
      <t xml:space="preserve">号</t>
    </r>
  </si>
  <si>
    <t xml:space="preserve">重庆市江津区人民法院、重庆市第五中级人民法院、重庆市高级人民法院</t>
  </si>
  <si>
    <t xml:space="preserve">一审驳回原告诉请，二审维持，再审申请被驳回；判决生效、结案。</t>
  </si>
  <si>
    <t xml:space="preserve">P09</t>
  </si>
  <si>
    <t xml:space="preserve">ANN-20260822-P10</t>
  </si>
  <si>
    <t xml:space="preserve">重庆建工住宅建设有限公司</t>
  </si>
  <si>
    <t xml:space="preserve">遵义市永和城置业有限公司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</si>
  <si>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黔</t>
    </r>
    <r>
      <rPr>
        <sz val="11"/>
        <color rgb="FF000000"/>
        <rFont val="Calibri"/>
        <family val="2"/>
        <charset val="1"/>
      </rPr>
      <t xml:space="preserve">03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177-1</t>
    </r>
    <r>
      <rPr>
        <sz val="11"/>
        <color rgb="FF000000"/>
        <rFont val="Noto Sans CJK SC"/>
        <family val="2"/>
      </rPr>
      <t xml:space="preserve">号</t>
    </r>
  </si>
  <si>
    <t xml:space="preserve">贵州省遵义市中级人民法院、贵州省高级人民法院</t>
  </si>
  <si>
    <r>
      <rPr>
        <sz val="11"/>
        <color rgb="FF000000"/>
        <rFont val="Noto Sans CJK SC"/>
        <family val="2"/>
      </rPr>
      <t xml:space="preserve">重审期间被告进入破产重整，原告确认优先债权</t>
    </r>
    <r>
      <rPr>
        <sz val="11"/>
        <color rgb="FF000000"/>
        <rFont val="Calibri"/>
        <family val="2"/>
        <charset val="1"/>
      </rPr>
      <t xml:space="preserve">11,686.18</t>
    </r>
    <r>
      <rPr>
        <sz val="11"/>
        <color rgb="FF000000"/>
        <rFont val="Noto Sans CJK SC"/>
        <family val="2"/>
      </rPr>
      <t xml:space="preserve">万元，少量债权仍在确认；原告已撤诉。</t>
    </r>
  </si>
  <si>
    <t xml:space="preserve">P10</t>
  </si>
  <si>
    <t xml:space="preserve">ANN-20260822-P11</t>
  </si>
  <si>
    <t xml:space="preserve">重庆建工第八建设有限责任公司</t>
  </si>
  <si>
    <t xml:space="preserve">张洋</t>
  </si>
  <si>
    <t xml:space="preserve">合同纠纷</t>
  </si>
  <si>
    <r>
      <rPr>
        <sz val="11"/>
        <color rgb="FF000000"/>
        <rFont val="Calibri"/>
        <family val="2"/>
        <charset val="1"/>
      </rPr>
      <t xml:space="preserve">(2017)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0107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19887</t>
    </r>
    <r>
      <rPr>
        <sz val="11"/>
        <color rgb="FF000000"/>
        <rFont val="Noto Sans CJK SC"/>
        <family val="2"/>
      </rPr>
      <t xml:space="preserve">号</t>
    </r>
  </si>
  <si>
    <t xml:space="preserve">重庆市九龙坡区人民法院</t>
  </si>
  <si>
    <r>
      <rPr>
        <sz val="11"/>
        <color rgb="FF000000"/>
        <rFont val="Noto Sans CJK SC"/>
        <family val="2"/>
      </rPr>
      <t xml:space="preserve">一审判决返还代付款</t>
    </r>
    <r>
      <rPr>
        <sz val="11"/>
        <color rgb="FF000000"/>
        <rFont val="Calibri"/>
        <family val="2"/>
        <charset val="1"/>
      </rPr>
      <t xml:space="preserve">1,126.60</t>
    </r>
    <r>
      <rPr>
        <sz val="11"/>
        <color rgb="FF000000"/>
        <rFont val="Noto Sans CJK SC"/>
        <family val="2"/>
      </rPr>
      <t xml:space="preserve">万元及利息；判决生效，案件履行中。</t>
    </r>
  </si>
  <si>
    <t xml:space="preserve">P11</t>
  </si>
  <si>
    <t xml:space="preserve">ANN-20260822-P12</t>
  </si>
  <si>
    <t xml:space="preserve">重庆建工第二建设有限公司</t>
  </si>
  <si>
    <t xml:space="preserve">重庆富州房地产开发有限公司、上海宏铭企业发展有限公司、林金清、陈才义（第三人）、重庆建渝工程咨询有限公司（第三人）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</si>
  <si>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22758</t>
    </r>
    <r>
      <rPr>
        <sz val="11"/>
        <color rgb="FF000000"/>
        <rFont val="Noto Sans CJK SC"/>
        <family val="2"/>
      </rPr>
      <t xml:space="preserve">号</t>
    </r>
  </si>
  <si>
    <t xml:space="preserve">重庆市沙坪坝区人民法院、重庆市第一中级人民法院</t>
  </si>
  <si>
    <r>
      <rPr>
        <sz val="11"/>
        <color rgb="FF000000"/>
        <rFont val="Noto Sans CJK SC"/>
        <family val="2"/>
      </rPr>
      <t xml:space="preserve">一审判工程进度款</t>
    </r>
    <r>
      <rPr>
        <sz val="11"/>
        <color rgb="FF000000"/>
        <rFont val="Calibri"/>
        <family val="2"/>
        <charset val="1"/>
      </rPr>
      <t xml:space="preserve">2,084.32</t>
    </r>
    <r>
      <rPr>
        <sz val="11"/>
        <color rgb="FF000000"/>
        <rFont val="Noto Sans CJK SC"/>
        <family val="2"/>
      </rPr>
      <t xml:space="preserve">万元及暂计利息</t>
    </r>
    <r>
      <rPr>
        <sz val="11"/>
        <color rgb="FF000000"/>
        <rFont val="Calibri"/>
        <family val="2"/>
        <charset val="1"/>
      </rPr>
      <t xml:space="preserve">76.93</t>
    </r>
    <r>
      <rPr>
        <sz val="11"/>
        <color rgb="FF000000"/>
        <rFont val="Noto Sans CJK SC"/>
        <family val="2"/>
      </rPr>
      <t xml:space="preserve">万元、返还履约保证金</t>
    </r>
    <r>
      <rPr>
        <sz val="11"/>
        <color rgb="FF000000"/>
        <rFont val="Calibri"/>
        <family val="2"/>
        <charset val="1"/>
      </rPr>
      <t xml:space="preserve">218.45</t>
    </r>
    <r>
      <rPr>
        <sz val="11"/>
        <color rgb="FF000000"/>
        <rFont val="Noto Sans CJK SC"/>
        <family val="2"/>
      </rPr>
      <t xml:space="preserve">万元及利息损失，享有优先受偿权并驳回反诉；二审调解确认支付工程款</t>
    </r>
    <r>
      <rPr>
        <sz val="11"/>
        <color rgb="FF000000"/>
        <rFont val="Calibri"/>
        <family val="2"/>
        <charset val="1"/>
      </rPr>
      <t xml:space="preserve">3,997.21</t>
    </r>
    <r>
      <rPr>
        <sz val="11"/>
        <color rgb="FF000000"/>
        <rFont val="Noto Sans CJK SC"/>
        <family val="2"/>
      </rPr>
      <t xml:space="preserve">万元，调解生效、履行中。公告表格另列</t>
    </r>
    <r>
      <rPr>
        <sz val="11"/>
        <color rgb="FF000000"/>
        <rFont val="Calibri"/>
        <family val="2"/>
        <charset val="1"/>
      </rPr>
      <t xml:space="preserve">5,095.08</t>
    </r>
    <r>
      <rPr>
        <sz val="11"/>
        <color rgb="FF000000"/>
        <rFont val="Noto Sans CJK SC"/>
        <family val="2"/>
      </rPr>
      <t xml:space="preserve">万元，性质须核对原件。公告第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页另列</t>
    </r>
    <r>
      <rPr>
        <sz val="11"/>
        <color rgb="FF000000"/>
        <rFont val="Calibri"/>
        <family val="2"/>
        <charset val="1"/>
      </rPr>
      <t xml:space="preserve">5,095.08</t>
    </r>
    <r>
      <rPr>
        <sz val="11"/>
        <color rgb="FF000000"/>
        <rFont val="Noto Sans CJK SC"/>
        <family val="2"/>
      </rPr>
      <t xml:space="preserve">万元子行，公告将其列在重庆富州房地产开发有限公司一侧；该金额与案件金额及二审调解金额口径不同，须核对来源文件。</t>
    </r>
  </si>
  <si>
    <t xml:space="preserve">3, 4</t>
  </si>
  <si>
    <t xml:space="preserve">P12</t>
  </si>
  <si>
    <t xml:space="preserve">ANN-20260822-P13</t>
  </si>
  <si>
    <t xml:space="preserve">重庆两江新区新榈实业有限公司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</si>
  <si>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0112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64333</t>
    </r>
    <r>
      <rPr>
        <sz val="11"/>
        <color rgb="FF000000"/>
        <rFont val="Noto Sans CJK SC"/>
        <family val="2"/>
      </rPr>
      <t xml:space="preserve">号</t>
    </r>
  </si>
  <si>
    <t xml:space="preserve">重庆市两江新区人民法院、重庆市第一中级人民法院</t>
  </si>
  <si>
    <r>
      <rPr>
        <sz val="11"/>
        <color rgb="FF000000"/>
        <rFont val="Noto Sans CJK SC"/>
        <family val="2"/>
      </rPr>
      <t xml:space="preserve">一审判工程款</t>
    </r>
    <r>
      <rPr>
        <sz val="11"/>
        <color rgb="FF000000"/>
        <rFont val="Calibri"/>
        <family val="2"/>
        <charset val="1"/>
      </rPr>
      <t xml:space="preserve">1,023.28</t>
    </r>
    <r>
      <rPr>
        <sz val="11"/>
        <color rgb="FF000000"/>
        <rFont val="Noto Sans CJK SC"/>
        <family val="2"/>
      </rPr>
      <t xml:space="preserve">万元，二审维持；判决生效、履行中。</t>
    </r>
  </si>
  <si>
    <t xml:space="preserve">4</t>
  </si>
  <si>
    <t xml:space="preserve">P13</t>
  </si>
  <si>
    <t xml:space="preserve">ANN-20260822-P14</t>
  </si>
  <si>
    <t xml:space="preserve">郑俊亮</t>
  </si>
  <si>
    <t xml:space="preserve">阿勒泰卓渝建筑工程有限责任公司青海分公司、阿勒泰卓渝建筑工程有限责任公司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</si>
  <si>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青</t>
    </r>
    <r>
      <rPr>
        <sz val="11"/>
        <color rgb="FF000000"/>
        <rFont val="Calibri"/>
        <family val="2"/>
        <charset val="1"/>
      </rPr>
      <t xml:space="preserve">0104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8548</t>
    </r>
    <r>
      <rPr>
        <sz val="11"/>
        <color rgb="FF000000"/>
        <rFont val="Noto Sans CJK SC"/>
        <family val="2"/>
      </rPr>
      <t xml:space="preserve">号</t>
    </r>
  </si>
  <si>
    <t xml:space="preserve">青海省西宁市城西区人民法院</t>
  </si>
  <si>
    <r>
      <rPr>
        <sz val="11"/>
        <color rgb="FF000000"/>
        <rFont val="Noto Sans CJK SC"/>
        <family val="2"/>
      </rPr>
      <t xml:space="preserve">一审判工程款</t>
    </r>
    <r>
      <rPr>
        <sz val="11"/>
        <color rgb="FF000000"/>
        <rFont val="Calibri"/>
        <family val="2"/>
        <charset val="1"/>
      </rPr>
      <t xml:space="preserve">6,107.02</t>
    </r>
    <r>
      <rPr>
        <sz val="11"/>
        <color rgb="FF000000"/>
        <rFont val="Noto Sans CJK SC"/>
        <family val="2"/>
      </rPr>
      <t xml:space="preserve">万元；被告已上诉，二审审理中。公告所列原告为郑俊亮，重庆建工并非当事人。</t>
    </r>
  </si>
  <si>
    <t xml:space="preserve">P14</t>
  </si>
  <si>
    <t xml:space="preserve">ANN-20260822-P15</t>
  </si>
  <si>
    <t xml:space="preserve">重庆三峡继成置业有限公司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</si>
  <si>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11844</t>
    </r>
    <r>
      <rPr>
        <sz val="11"/>
        <color rgb="FF000000"/>
        <rFont val="Noto Sans CJK SC"/>
        <family val="2"/>
      </rPr>
      <t xml:space="preserve">号</t>
    </r>
  </si>
  <si>
    <r>
      <rPr>
        <sz val="11"/>
        <color rgb="FF000000"/>
        <rFont val="Noto Sans CJK SC"/>
        <family val="2"/>
      </rPr>
      <t xml:space="preserve">一审判工程款</t>
    </r>
    <r>
      <rPr>
        <sz val="11"/>
        <color rgb="FF000000"/>
        <rFont val="Calibri"/>
        <family val="2"/>
        <charset val="1"/>
      </rPr>
      <t xml:space="preserve">10,608.06</t>
    </r>
    <r>
      <rPr>
        <sz val="11"/>
        <color rgb="FF000000"/>
        <rFont val="Noto Sans CJK SC"/>
        <family val="2"/>
      </rPr>
      <t xml:space="preserve">万元及利息、返还履约保证金</t>
    </r>
    <r>
      <rPr>
        <sz val="11"/>
        <color rgb="FF000000"/>
        <rFont val="Calibri"/>
        <family val="2"/>
        <charset val="1"/>
      </rPr>
      <t xml:space="preserve">1,000.00</t>
    </r>
    <r>
      <rPr>
        <sz val="11"/>
        <color rgb="FF000000"/>
        <rFont val="Noto Sans CJK SC"/>
        <family val="2"/>
      </rPr>
      <t xml:space="preserve">万元及利息损失，并确认优先受偿权；判决生效、履行中。</t>
    </r>
  </si>
  <si>
    <t xml:space="preserve">P15</t>
  </si>
  <si>
    <t xml:space="preserve">ANN-20260822-P16</t>
  </si>
  <si>
    <t xml:space="preserve">兰州南河道生态文化旅游开发有限公司、兰州市城关区城市发展投资（集团）有限公司</t>
  </si>
  <si>
    <t xml:space="preserve">保证金纠纷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</si>
  <si>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54423</t>
    </r>
    <r>
      <rPr>
        <sz val="11"/>
        <color rgb="FF000000"/>
        <rFont val="Noto Sans CJK SC"/>
        <family val="2"/>
      </rPr>
      <t xml:space="preserve">号；</t>
    </r>
    <r>
      <rPr>
        <sz val="11"/>
        <color rgb="FF000000"/>
        <rFont val="Calibri"/>
        <family val="2"/>
        <charset val="1"/>
      </rPr>
      <t xml:space="preserve">(2026)</t>
    </r>
    <r>
      <rPr>
        <sz val="11"/>
        <color rgb="FF000000"/>
        <rFont val="Noto Sans CJK SC"/>
        <family val="2"/>
      </rPr>
      <t xml:space="preserve">甘</t>
    </r>
    <r>
      <rPr>
        <sz val="11"/>
        <color rgb="FF000000"/>
        <rFont val="Calibri"/>
        <family val="2"/>
        <charset val="1"/>
      </rPr>
      <t xml:space="preserve">01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44</t>
    </r>
    <r>
      <rPr>
        <sz val="11"/>
        <color rgb="FF000000"/>
        <rFont val="Noto Sans CJK SC"/>
        <family val="2"/>
      </rPr>
      <t xml:space="preserve">号</t>
    </r>
  </si>
  <si>
    <t xml:space="preserve">重庆市沙坪坝区人民法院、甘肃省兰州市中级人民法院</t>
  </si>
  <si>
    <t xml:space="preserve">原告变更诉求；案件从重庆市沙坪坝区人民法院移送兰州市中级人民法院审理。</t>
  </si>
  <si>
    <t xml:space="preserve">P16</t>
  </si>
  <si>
    <t xml:space="preserve">ANN-20260822-P17</t>
  </si>
  <si>
    <t xml:space="preserve">重庆建工第十一建筑工程有限责任公司</t>
  </si>
  <si>
    <t xml:space="preserve">重庆鹏博实业有限公司、重庆瑞安物业发展有限公司、重庆市疾病预防控制中心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</si>
  <si>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0105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33130</t>
    </r>
    <r>
      <rPr>
        <sz val="11"/>
        <color rgb="FF000000"/>
        <rFont val="Noto Sans CJK SC"/>
        <family val="2"/>
      </rPr>
      <t xml:space="preserve">号</t>
    </r>
  </si>
  <si>
    <t xml:space="preserve">重庆市江北区人民法院、重庆市两江新区人民法院</t>
  </si>
  <si>
    <r>
      <rPr>
        <sz val="11"/>
        <color rgb="FF000000"/>
        <rFont val="Noto Sans CJK SC"/>
        <family val="2"/>
      </rPr>
      <t xml:space="preserve">一审判解除合同，两公司支付工程款</t>
    </r>
    <r>
      <rPr>
        <sz val="11"/>
        <color rgb="FF000000"/>
        <rFont val="Calibri"/>
        <family val="2"/>
        <charset val="1"/>
      </rPr>
      <t xml:space="preserve">17,598.97</t>
    </r>
    <r>
      <rPr>
        <sz val="11"/>
        <color rgb="FF000000"/>
        <rFont val="Noto Sans CJK SC"/>
        <family val="2"/>
      </rPr>
      <t xml:space="preserve">万元及利息并确认优先受偿权；判决生效、履行中。</t>
    </r>
  </si>
  <si>
    <t xml:space="preserve">P17</t>
  </si>
  <si>
    <t xml:space="preserve">ANN-20260822-P18</t>
  </si>
  <si>
    <t xml:space="preserve">西藏渝昌建设有限责任公司（原名：重庆建工第四建设有限责任公司）</t>
  </si>
  <si>
    <t xml:space="preserve">重庆交运物流有限公司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</si>
  <si>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27463</t>
    </r>
    <r>
      <rPr>
        <sz val="11"/>
        <color rgb="FF000000"/>
        <rFont val="Noto Sans CJK SC"/>
        <family val="2"/>
      </rPr>
      <t xml:space="preserve">号</t>
    </r>
  </si>
  <si>
    <r>
      <rPr>
        <sz val="11"/>
        <color rgb="FF000000"/>
        <rFont val="Noto Sans CJK SC"/>
        <family val="2"/>
      </rPr>
      <t xml:space="preserve">原告变更诉请；一审判支付工程款</t>
    </r>
    <r>
      <rPr>
        <sz val="11"/>
        <color rgb="FF000000"/>
        <rFont val="Calibri"/>
        <family val="2"/>
        <charset val="1"/>
      </rPr>
      <t xml:space="preserve">1,144.19</t>
    </r>
    <r>
      <rPr>
        <sz val="11"/>
        <color rgb="FF000000"/>
        <rFont val="Noto Sans CJK SC"/>
        <family val="2"/>
      </rPr>
      <t xml:space="preserve">万元及利息并确认优先受偿权；双方均上诉，二审中。</t>
    </r>
  </si>
  <si>
    <t xml:space="preserve">P18</t>
  </si>
  <si>
    <t xml:space="preserve">ANN-20260822-P19</t>
  </si>
  <si>
    <t xml:space="preserve">旺苍县中瑞诚房地产开发有限责任公司、宋增军、杨洋、税国全、王宇、吴晓山、邓坤、税正玉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</si>
  <si>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川</t>
    </r>
    <r>
      <rPr>
        <sz val="11"/>
        <color rgb="FF000000"/>
        <rFont val="Calibri"/>
        <family val="2"/>
        <charset val="1"/>
      </rPr>
      <t xml:space="preserve">0821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2786</t>
    </r>
    <r>
      <rPr>
        <sz val="11"/>
        <color rgb="FF000000"/>
        <rFont val="Noto Sans CJK SC"/>
        <family val="2"/>
      </rPr>
      <t xml:space="preserve">号</t>
    </r>
  </si>
  <si>
    <t xml:space="preserve">四川省旺苍县法院</t>
  </si>
  <si>
    <r>
      <rPr>
        <sz val="11"/>
        <color rgb="FF000000"/>
        <rFont val="Noto Sans CJK SC"/>
        <family val="2"/>
      </rPr>
      <t xml:space="preserve">一审判工程进度款</t>
    </r>
    <r>
      <rPr>
        <sz val="11"/>
        <color rgb="FF000000"/>
        <rFont val="Calibri"/>
        <family val="2"/>
        <charset val="1"/>
      </rPr>
      <t xml:space="preserve">351.91</t>
    </r>
    <r>
      <rPr>
        <sz val="11"/>
        <color rgb="FF000000"/>
        <rFont val="Noto Sans CJK SC"/>
        <family val="2"/>
      </rPr>
      <t xml:space="preserve">万元、暂计资金占用费</t>
    </r>
    <r>
      <rPr>
        <sz val="11"/>
        <color rgb="FF000000"/>
        <rFont val="Calibri"/>
        <family val="2"/>
        <charset val="1"/>
      </rPr>
      <t xml:space="preserve">361.65</t>
    </r>
    <r>
      <rPr>
        <sz val="11"/>
        <color rgb="FF000000"/>
        <rFont val="Noto Sans CJK SC"/>
        <family val="2"/>
      </rPr>
      <t xml:space="preserve">万元及履约保证金资金占用费</t>
    </r>
    <r>
      <rPr>
        <sz val="11"/>
        <color rgb="FF000000"/>
        <rFont val="Calibri"/>
        <family val="2"/>
        <charset val="1"/>
      </rPr>
      <t xml:space="preserve">100.13</t>
    </r>
    <r>
      <rPr>
        <sz val="11"/>
        <color rgb="FF000000"/>
        <rFont val="Noto Sans CJK SC"/>
        <family val="2"/>
      </rPr>
      <t xml:space="preserve">万元，列明多名连带责任人并确认优先受偿权；原告已上诉，二审中。</t>
    </r>
  </si>
  <si>
    <t xml:space="preserve">4, 5</t>
  </si>
  <si>
    <t xml:space="preserve">P19</t>
  </si>
  <si>
    <t xml:space="preserve">项目</t>
  </si>
  <si>
    <r>
      <rPr>
        <b val="true"/>
        <sz val="11"/>
        <color rgb="FFFFFFFF"/>
        <rFont val="Noto Sans CJK SC"/>
        <family val="2"/>
      </rPr>
      <t xml:space="preserve">公式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金额（万元）</t>
    </r>
  </si>
  <si>
    <t xml:space="preserve">取值口径</t>
  </si>
  <si>
    <t xml:space="preserve">来源</t>
  </si>
  <si>
    <r>
      <rPr>
        <sz val="11"/>
        <color rgb="FF000000"/>
        <rFont val="Noto Sans CJK SC"/>
        <family val="2"/>
      </rPr>
      <t xml:space="preserve">新发生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案涉案金额合计</t>
    </r>
  </si>
  <si>
    <t xml:space="preserve">公告列示涉案金额之和，不代表判决或未偿金额</t>
  </si>
  <si>
    <r>
      <rPr>
        <sz val="11"/>
        <color rgb="FF000000"/>
        <rFont val="Noto Sans CJK SC"/>
        <family val="2"/>
      </rPr>
      <t xml:space="preserve">公告第</t>
    </r>
    <r>
      <rPr>
        <sz val="11"/>
        <color rgb="FF000000"/>
        <rFont val="Calibri"/>
        <family val="2"/>
        <charset val="1"/>
      </rPr>
      <t xml:space="preserve">1-2</t>
    </r>
    <r>
      <rPr>
        <sz val="11"/>
        <color rgb="FF000000"/>
        <rFont val="Noto Sans CJK SC"/>
        <family val="2"/>
      </rPr>
      <t xml:space="preserve">页</t>
    </r>
  </si>
  <si>
    <r>
      <rPr>
        <sz val="11"/>
        <color rgb="FF000000"/>
        <rFont val="Noto Sans CJK SC"/>
        <family val="2"/>
      </rPr>
      <t xml:space="preserve">前期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CJK SC"/>
        <family val="2"/>
      </rPr>
      <t xml:space="preserve">案涉案金额合计</t>
    </r>
  </si>
  <si>
    <r>
      <rPr>
        <sz val="11"/>
        <color rgb="FF000000"/>
        <rFont val="Noto Sans CJK SC"/>
        <family val="2"/>
      </rPr>
      <t xml:space="preserve">公告第</t>
    </r>
    <r>
      <rPr>
        <sz val="11"/>
        <color rgb="FF000000"/>
        <rFont val="Calibri"/>
        <family val="2"/>
        <charset val="1"/>
      </rPr>
      <t xml:space="preserve">2-5</t>
    </r>
    <r>
      <rPr>
        <sz val="11"/>
        <color rgb="FF000000"/>
        <rFont val="Noto Sans CJK SC"/>
        <family val="2"/>
      </rPr>
      <t xml:space="preserve">页</t>
    </r>
  </si>
  <si>
    <r>
      <rPr>
        <sz val="11"/>
        <color rgb="FF000000"/>
        <rFont val="Noto Sans CJK SC"/>
        <family val="2"/>
      </rPr>
      <t xml:space="preserve">新案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前期披露案件合计</t>
    </r>
  </si>
  <si>
    <r>
      <rPr>
        <sz val="11"/>
        <color rgb="FF000000"/>
        <rFont val="Noto Sans CJK SC"/>
        <family val="2"/>
      </rPr>
      <t xml:space="preserve">仅为上述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CJK SC"/>
        <family val="2"/>
      </rPr>
      <t xml:space="preserve">项公告涉案金额合计</t>
    </r>
  </si>
  <si>
    <t xml:space="preserve">上述两项</t>
  </si>
  <si>
    <r>
      <rPr>
        <sz val="11"/>
        <color rgb="FF000000"/>
        <rFont val="Noto Sans CJK SC"/>
        <family val="2"/>
      </rPr>
      <t xml:space="preserve">公告所述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CJK SC"/>
        <family val="2"/>
      </rPr>
      <t xml:space="preserve">年度利润影响</t>
    </r>
  </si>
  <si>
    <t xml:space="preserve">已结案件增加利润；未经审计确认</t>
  </si>
  <si>
    <r>
      <rPr>
        <sz val="11"/>
        <color rgb="FF000000"/>
        <rFont val="Noto Sans CJK SC"/>
        <family val="2"/>
      </rPr>
      <t xml:space="preserve">公告第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页</t>
    </r>
  </si>
  <si>
    <t xml:space="preserve">新案数</t>
  </si>
  <si>
    <t xml:space="preserve">公告第一部分</t>
  </si>
  <si>
    <t xml:space="preserve">前期案件数</t>
  </si>
  <si>
    <t xml:space="preserve">公告第二部分</t>
  </si>
  <si>
    <t xml:space="preserve">编号</t>
  </si>
  <si>
    <r>
      <rPr>
        <b val="true"/>
        <sz val="11"/>
        <color rgb="FFFFFFFF"/>
        <rFont val="Noto Sans CJK SC"/>
        <family val="2"/>
      </rPr>
      <t xml:space="preserve">范围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案件</t>
    </r>
  </si>
  <si>
    <t xml:space="preserve">待调取材料</t>
  </si>
  <si>
    <t xml:space="preserve">核验事项</t>
  </si>
  <si>
    <t xml:space="preserve">优先级</t>
  </si>
  <si>
    <t xml:space="preserve">当前状态</t>
  </si>
  <si>
    <t xml:space="preserve">ALL-01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</si>
  <si>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全部案件</t>
    </r>
  </si>
  <si>
    <t xml:space="preserve">完整起诉状、答辩状、反诉状及诉请变更申请</t>
  </si>
  <si>
    <t xml:space="preserve">逐项核实诉辩立场、请求金额、反请求及争议事实</t>
  </si>
  <si>
    <t xml:space="preserve">高</t>
  </si>
  <si>
    <t xml:space="preserve">公告不含，待调取</t>
  </si>
  <si>
    <t xml:space="preserve">ALL-02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</si>
  <si>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建设工程案件</t>
    </r>
  </si>
  <si>
    <t xml:space="preserve">施工合同、补充协议、招投标文件及计价附件</t>
  </si>
  <si>
    <t xml:space="preserve">核对主体、承包范围、价款、付款条件和合同相对方</t>
  </si>
  <si>
    <t xml:space="preserve">ALL-03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</si>
  <si>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工程价款案件</t>
    </r>
  </si>
  <si>
    <t xml:space="preserve">付款流水、发票、对账及收款凭证</t>
  </si>
  <si>
    <t xml:space="preserve">核验已付款、欠款余额、款项用途与公告金额差异</t>
  </si>
  <si>
    <t xml:space="preserve">ALL-04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</si>
  <si>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工程履行案件</t>
    </r>
  </si>
  <si>
    <t xml:space="preserve">开竣工、施工日志、签证、变更、验收、结算资料</t>
  </si>
  <si>
    <t xml:space="preserve">核实履行范围、工期节点、质量、结算与价款形成</t>
  </si>
  <si>
    <t xml:space="preserve">ALL-05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</si>
  <si>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催告及保修金</t>
    </r>
  </si>
  <si>
    <t xml:space="preserve">催款通知、送达凭证、质保金约定与保修记录</t>
  </si>
  <si>
    <t xml:space="preserve">核对催告事实、送达、质保金条件和保修义务</t>
  </si>
  <si>
    <t xml:space="preserve">中</t>
  </si>
  <si>
    <t xml:space="preserve">ALL-06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</si>
  <si>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程序</t>
    </r>
  </si>
  <si>
    <t xml:space="preserve">法院受理、举证通知、庭审笔录、裁定、判决、调解书及送达凭证</t>
  </si>
  <si>
    <r>
      <rPr>
        <sz val="11"/>
        <color rgb="FF000000"/>
        <rFont val="Noto Sans CJK SC"/>
        <family val="2"/>
      </rPr>
      <t xml:space="preserve">核实程序阶段、裁判主文、上诉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移送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生效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履行状态</t>
    </r>
  </si>
  <si>
    <t xml:space="preserve">公告转述，待原件核对</t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</si>
  <si>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页</t>
    </r>
    <r>
      <rPr>
        <sz val="11"/>
        <color rgb="FF000000"/>
        <rFont val="Calibri"/>
        <family val="2"/>
        <charset val="1"/>
      </rPr>
      <t xml:space="preserve">5,095.08</t>
    </r>
    <r>
      <rPr>
        <sz val="11"/>
        <color rgb="FF000000"/>
        <rFont val="Noto Sans CJK SC"/>
        <family val="2"/>
      </rPr>
      <t xml:space="preserve">万元表格子行对应的原始诉辩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反诉材料及金额计算表</t>
    </r>
  </si>
  <si>
    <r>
      <rPr>
        <sz val="11"/>
        <color rgb="FF000000"/>
        <rFont val="Noto Sans CJK SC"/>
        <family val="2"/>
      </rPr>
      <t xml:space="preserve">确定该金额的主张主体、性质、是否反诉及其与</t>
    </r>
    <r>
      <rPr>
        <sz val="11"/>
        <color rgb="FF000000"/>
        <rFont val="Calibri"/>
        <family val="2"/>
        <charset val="1"/>
      </rPr>
      <t xml:space="preserve">3,894.10</t>
    </r>
    <r>
      <rPr>
        <sz val="11"/>
        <color rgb="FF000000"/>
        <rFont val="Noto Sans CJK SC"/>
        <family val="2"/>
      </rPr>
      <t xml:space="preserve">万元、</t>
    </r>
    <r>
      <rPr>
        <sz val="11"/>
        <color rgb="FF000000"/>
        <rFont val="Calibri"/>
        <family val="2"/>
        <charset val="1"/>
      </rPr>
      <t xml:space="preserve">3,997.21</t>
    </r>
    <r>
      <rPr>
        <sz val="11"/>
        <color rgb="FF000000"/>
        <rFont val="Noto Sans CJK SC"/>
        <family val="2"/>
      </rPr>
      <t xml:space="preserve">万元的关系</t>
    </r>
  </si>
  <si>
    <t xml:space="preserve">公告版面存在，实质待核</t>
  </si>
  <si>
    <t xml:space="preserve">移送裁定、变更诉请文件及兰州中院受理材料</t>
  </si>
  <si>
    <t xml:space="preserve">核对移送时间、新案号与变更后的请求</t>
  </si>
  <si>
    <t xml:space="preserve">公告未载具体事件日</t>
  </si>
  <si>
    <r>
      <rPr>
        <sz val="11"/>
        <color rgb="FF000000"/>
        <rFont val="Noto Sans CJK SC"/>
        <family val="2"/>
      </rPr>
      <t xml:space="preserve">案件委托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关联范围确认及郑俊亮案件诉辩、裁判材料</t>
    </r>
  </si>
  <si>
    <t xml:space="preserve">确认该项纳入整理范围的业务关联，不将郑俊亮表述为重庆建工</t>
  </si>
  <si>
    <t xml:space="preserve">公告主体已标识</t>
  </si>
  <si>
    <t xml:space="preserve">ALL-07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</si>
  <si>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庭前提交</t>
    </r>
  </si>
  <si>
    <t xml:space="preserve">法院要求提交的证据副本、原件核对清单及送达回证</t>
  </si>
  <si>
    <t xml:space="preserve">建立原件状态、页码、提交编号与卷宗位置映射</t>
  </si>
  <si>
    <t xml:space="preserve">举证通知未提供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</si>
</sst>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45B5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5B5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5B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aseRegister" displayName="CaseRegister" ref="A1:O24" headerRowCount="1" totalsRowCount="0" totalsRowShown="0">
  <autoFilter ref="A1:O24"/>
  <tableColumns count="15">
    <tableColumn id="1" name="内部整理码"/>
    <tableColumn id="2" name="公告分组"/>
    <tableColumn id="3" name="公告序号"/>
    <tableColumn id="4" name="原告（公告）"/>
    <tableColumn id="5" name="被告（公告）"/>
    <tableColumn id="6" name="案由（公告）"/>
    <tableColumn id="7" name="案号（公告）"/>
    <tableColumn id="8" name="涉案金额（万元）"/>
    <tableColumn id="9" name="受理法院（公告）"/>
    <tableColumn id="10" name="公告所述进展"/>
    <tableColumn id="11" name="公告页码"/>
    <tableColumn id="12" name="程序事件日"/>
    <tableColumn id="13" name="事实角色"/>
    <tableColumn id="14" name="核验状态"/>
    <tableColumn id="15" name="提交编号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8" min="3" style="0" width="26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n">
        <v>5</v>
      </c>
      <c r="G2" s="3" t="s">
        <v>13</v>
      </c>
      <c r="H2" s="3" t="s">
        <v>14</v>
      </c>
    </row>
  </sheetData>
  <autoFilter ref="A1:H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3"/>
    <col collapsed="false" customWidth="true" hidden="false" outlineLevel="0" max="5" min="5" style="0" width="52"/>
    <col collapsed="false" customWidth="true" hidden="false" outlineLevel="0" max="6" min="6" style="0" width="24"/>
    <col collapsed="false" customWidth="true" hidden="false" outlineLevel="0" max="7" min="7" style="0" width="35"/>
    <col collapsed="false" customWidth="true" hidden="false" outlineLevel="0" max="8" min="8" style="0" width="18"/>
    <col collapsed="false" customWidth="true" hidden="false" outlineLevel="0" max="9" min="9" style="0" width="36"/>
    <col collapsed="false" customWidth="true" hidden="false" outlineLevel="0" max="10" min="10" style="0" width="76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48"/>
    <col collapsed="false" customWidth="true" hidden="false" outlineLevel="0" max="14" min="14" style="0" width="40"/>
    <col collapsed="false" customWidth="true" hidden="false" outlineLevel="0" max="15" min="15" style="0" width="20"/>
  </cols>
  <sheetData>
    <row r="1" customFormat="false" ht="33.75" hidden="false" customHeight="true" outlineLevel="0" collapsed="false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7</v>
      </c>
      <c r="O1" s="1" t="s">
        <v>27</v>
      </c>
    </row>
    <row r="2" customFormat="false" ht="15" hidden="false" customHeight="false" outlineLevel="0" collapsed="false">
      <c r="A2" s="2" t="s">
        <v>28</v>
      </c>
      <c r="B2" s="3" t="s">
        <v>29</v>
      </c>
      <c r="C2" s="2" t="n">
        <v>1</v>
      </c>
      <c r="D2" s="3" t="s">
        <v>30</v>
      </c>
      <c r="E2" s="3" t="s">
        <v>31</v>
      </c>
      <c r="F2" s="3" t="s">
        <v>32</v>
      </c>
      <c r="G2" s="2" t="s">
        <v>33</v>
      </c>
      <c r="H2" s="4" t="n">
        <v>8966.45</v>
      </c>
      <c r="I2" s="3" t="s">
        <v>34</v>
      </c>
      <c r="J2" s="3" t="s">
        <v>35</v>
      </c>
      <c r="K2" s="2" t="s">
        <v>36</v>
      </c>
      <c r="L2" s="2"/>
      <c r="M2" s="3" t="s">
        <v>37</v>
      </c>
      <c r="N2" s="3" t="s">
        <v>38</v>
      </c>
      <c r="O2" s="2" t="s">
        <v>39</v>
      </c>
    </row>
    <row r="3" customFormat="false" ht="15" hidden="false" customHeight="false" outlineLevel="0" collapsed="false">
      <c r="A3" s="2" t="s">
        <v>40</v>
      </c>
      <c r="B3" s="3" t="s">
        <v>29</v>
      </c>
      <c r="C3" s="2" t="n">
        <v>2</v>
      </c>
      <c r="D3" s="3" t="s">
        <v>41</v>
      </c>
      <c r="E3" s="3" t="s">
        <v>42</v>
      </c>
      <c r="F3" s="3" t="s">
        <v>32</v>
      </c>
      <c r="G3" s="2" t="s">
        <v>43</v>
      </c>
      <c r="H3" s="4" t="n">
        <v>3332.63</v>
      </c>
      <c r="I3" s="3" t="s">
        <v>44</v>
      </c>
      <c r="J3" s="3" t="s">
        <v>35</v>
      </c>
      <c r="K3" s="2" t="s">
        <v>36</v>
      </c>
      <c r="L3" s="2"/>
      <c r="M3" s="3" t="s">
        <v>37</v>
      </c>
      <c r="N3" s="3" t="s">
        <v>38</v>
      </c>
      <c r="O3" s="2" t="s">
        <v>45</v>
      </c>
    </row>
    <row r="4" customFormat="false" ht="15" hidden="false" customHeight="false" outlineLevel="0" collapsed="false">
      <c r="A4" s="2" t="s">
        <v>46</v>
      </c>
      <c r="B4" s="3" t="s">
        <v>29</v>
      </c>
      <c r="C4" s="2" t="n">
        <v>3</v>
      </c>
      <c r="D4" s="3" t="s">
        <v>41</v>
      </c>
      <c r="E4" s="3" t="s">
        <v>47</v>
      </c>
      <c r="F4" s="3" t="s">
        <v>48</v>
      </c>
      <c r="G4" s="2" t="s">
        <v>49</v>
      </c>
      <c r="H4" s="4" t="n">
        <v>8094.68</v>
      </c>
      <c r="I4" s="3" t="s">
        <v>50</v>
      </c>
      <c r="J4" s="3" t="s">
        <v>35</v>
      </c>
      <c r="K4" s="2" t="s">
        <v>51</v>
      </c>
      <c r="L4" s="2"/>
      <c r="M4" s="3" t="s">
        <v>37</v>
      </c>
      <c r="N4" s="3" t="s">
        <v>38</v>
      </c>
      <c r="O4" s="2" t="s">
        <v>52</v>
      </c>
    </row>
    <row r="5" customFormat="false" ht="15" hidden="false" customHeight="false" outlineLevel="0" collapsed="false">
      <c r="A5" s="2" t="s">
        <v>53</v>
      </c>
      <c r="B5" s="3" t="s">
        <v>29</v>
      </c>
      <c r="C5" s="2" t="n">
        <v>4</v>
      </c>
      <c r="D5" s="3" t="s">
        <v>54</v>
      </c>
      <c r="E5" s="3" t="s">
        <v>55</v>
      </c>
      <c r="F5" s="3" t="s">
        <v>48</v>
      </c>
      <c r="G5" s="2" t="s">
        <v>56</v>
      </c>
      <c r="H5" s="4" t="n">
        <v>47444.1</v>
      </c>
      <c r="I5" s="3" t="s">
        <v>57</v>
      </c>
      <c r="J5" s="3" t="s">
        <v>35</v>
      </c>
      <c r="K5" s="2" t="s">
        <v>51</v>
      </c>
      <c r="L5" s="2"/>
      <c r="M5" s="3" t="s">
        <v>37</v>
      </c>
      <c r="N5" s="3" t="s">
        <v>38</v>
      </c>
      <c r="O5" s="2" t="s">
        <v>58</v>
      </c>
    </row>
    <row r="6" customFormat="false" ht="15" hidden="false" customHeight="false" outlineLevel="0" collapsed="false">
      <c r="A6" s="2" t="s">
        <v>59</v>
      </c>
      <c r="B6" s="3" t="s">
        <v>60</v>
      </c>
      <c r="C6" s="2" t="n">
        <v>1</v>
      </c>
      <c r="D6" s="3" t="s">
        <v>41</v>
      </c>
      <c r="E6" s="3" t="s">
        <v>61</v>
      </c>
      <c r="F6" s="3" t="s">
        <v>48</v>
      </c>
      <c r="G6" s="2" t="s">
        <v>62</v>
      </c>
      <c r="H6" s="4" t="n">
        <v>1534.22</v>
      </c>
      <c r="I6" s="3" t="s">
        <v>63</v>
      </c>
      <c r="J6" s="3" t="s">
        <v>64</v>
      </c>
      <c r="K6" s="2" t="s">
        <v>51</v>
      </c>
      <c r="L6" s="2"/>
      <c r="M6" s="3" t="s">
        <v>37</v>
      </c>
      <c r="N6" s="3" t="s">
        <v>38</v>
      </c>
      <c r="O6" s="2" t="s">
        <v>65</v>
      </c>
    </row>
    <row r="7" customFormat="false" ht="15" hidden="false" customHeight="false" outlineLevel="0" collapsed="false">
      <c r="A7" s="2" t="s">
        <v>66</v>
      </c>
      <c r="B7" s="3" t="s">
        <v>60</v>
      </c>
      <c r="C7" s="2" t="n">
        <v>2</v>
      </c>
      <c r="D7" s="3" t="s">
        <v>41</v>
      </c>
      <c r="E7" s="3" t="s">
        <v>67</v>
      </c>
      <c r="F7" s="3" t="s">
        <v>48</v>
      </c>
      <c r="G7" s="2" t="s">
        <v>68</v>
      </c>
      <c r="H7" s="4" t="n">
        <v>2668.69</v>
      </c>
      <c r="I7" s="3" t="s">
        <v>63</v>
      </c>
      <c r="J7" s="3" t="s">
        <v>69</v>
      </c>
      <c r="K7" s="2" t="s">
        <v>51</v>
      </c>
      <c r="L7" s="2"/>
      <c r="M7" s="3" t="s">
        <v>37</v>
      </c>
      <c r="N7" s="3" t="s">
        <v>38</v>
      </c>
      <c r="O7" s="2" t="s">
        <v>70</v>
      </c>
    </row>
    <row r="8" customFormat="false" ht="15" hidden="false" customHeight="false" outlineLevel="0" collapsed="false">
      <c r="A8" s="2" t="s">
        <v>71</v>
      </c>
      <c r="B8" s="3" t="s">
        <v>60</v>
      </c>
      <c r="C8" s="2" t="n">
        <v>3</v>
      </c>
      <c r="D8" s="3" t="s">
        <v>72</v>
      </c>
      <c r="E8" s="3" t="s">
        <v>73</v>
      </c>
      <c r="F8" s="3" t="s">
        <v>48</v>
      </c>
      <c r="G8" s="2" t="s">
        <v>74</v>
      </c>
      <c r="H8" s="4" t="n">
        <v>4677.21</v>
      </c>
      <c r="I8" s="3" t="s">
        <v>75</v>
      </c>
      <c r="J8" s="3" t="s">
        <v>76</v>
      </c>
      <c r="K8" s="2" t="s">
        <v>51</v>
      </c>
      <c r="L8" s="2"/>
      <c r="M8" s="3" t="s">
        <v>37</v>
      </c>
      <c r="N8" s="3" t="s">
        <v>38</v>
      </c>
      <c r="O8" s="2" t="s">
        <v>77</v>
      </c>
    </row>
    <row r="9" customFormat="false" ht="15" hidden="false" customHeight="false" outlineLevel="0" collapsed="false">
      <c r="A9" s="2" t="s">
        <v>78</v>
      </c>
      <c r="B9" s="3" t="s">
        <v>60</v>
      </c>
      <c r="C9" s="2" t="n">
        <v>4</v>
      </c>
      <c r="D9" s="3" t="s">
        <v>79</v>
      </c>
      <c r="E9" s="3" t="s">
        <v>80</v>
      </c>
      <c r="F9" s="3" t="s">
        <v>48</v>
      </c>
      <c r="G9" s="2" t="s">
        <v>81</v>
      </c>
      <c r="H9" s="4" t="n">
        <v>3714.08</v>
      </c>
      <c r="I9" s="3" t="s">
        <v>82</v>
      </c>
      <c r="J9" s="3" t="s">
        <v>83</v>
      </c>
      <c r="K9" s="2" t="s">
        <v>51</v>
      </c>
      <c r="L9" s="2"/>
      <c r="M9" s="3" t="s">
        <v>37</v>
      </c>
      <c r="N9" s="3" t="s">
        <v>38</v>
      </c>
      <c r="O9" s="2" t="s">
        <v>84</v>
      </c>
    </row>
    <row r="10" customFormat="false" ht="15" hidden="false" customHeight="false" outlineLevel="0" collapsed="false">
      <c r="A10" s="2" t="s">
        <v>85</v>
      </c>
      <c r="B10" s="3" t="s">
        <v>60</v>
      </c>
      <c r="C10" s="2" t="n">
        <v>5</v>
      </c>
      <c r="D10" s="3" t="s">
        <v>86</v>
      </c>
      <c r="E10" s="3" t="s">
        <v>87</v>
      </c>
      <c r="F10" s="3" t="s">
        <v>32</v>
      </c>
      <c r="G10" s="2" t="s">
        <v>88</v>
      </c>
      <c r="H10" s="4" t="n">
        <v>8677.26</v>
      </c>
      <c r="I10" s="3" t="s">
        <v>89</v>
      </c>
      <c r="J10" s="3" t="s">
        <v>90</v>
      </c>
      <c r="K10" s="2" t="s">
        <v>51</v>
      </c>
      <c r="L10" s="2"/>
      <c r="M10" s="3" t="s">
        <v>37</v>
      </c>
      <c r="N10" s="3" t="s">
        <v>38</v>
      </c>
      <c r="O10" s="2" t="s">
        <v>91</v>
      </c>
    </row>
    <row r="11" customFormat="false" ht="15" hidden="false" customHeight="false" outlineLevel="0" collapsed="false">
      <c r="A11" s="2" t="s">
        <v>92</v>
      </c>
      <c r="B11" s="3" t="s">
        <v>60</v>
      </c>
      <c r="C11" s="2" t="n">
        <v>6</v>
      </c>
      <c r="D11" s="3" t="s">
        <v>86</v>
      </c>
      <c r="E11" s="3" t="s">
        <v>93</v>
      </c>
      <c r="F11" s="3" t="s">
        <v>48</v>
      </c>
      <c r="G11" s="2" t="s">
        <v>94</v>
      </c>
      <c r="H11" s="4" t="n">
        <v>1519.27</v>
      </c>
      <c r="I11" s="3" t="s">
        <v>95</v>
      </c>
      <c r="J11" s="3" t="s">
        <v>96</v>
      </c>
      <c r="K11" s="2" t="s">
        <v>97</v>
      </c>
      <c r="L11" s="2"/>
      <c r="M11" s="3" t="s">
        <v>37</v>
      </c>
      <c r="N11" s="3" t="s">
        <v>38</v>
      </c>
      <c r="O11" s="2" t="s">
        <v>98</v>
      </c>
    </row>
    <row r="12" customFormat="false" ht="15" hidden="false" customHeight="false" outlineLevel="0" collapsed="false">
      <c r="A12" s="2" t="s">
        <v>99</v>
      </c>
      <c r="B12" s="3" t="s">
        <v>60</v>
      </c>
      <c r="C12" s="2" t="n">
        <v>7</v>
      </c>
      <c r="D12" s="3" t="s">
        <v>41</v>
      </c>
      <c r="E12" s="3" t="s">
        <v>100</v>
      </c>
      <c r="F12" s="3" t="s">
        <v>32</v>
      </c>
      <c r="G12" s="2" t="s">
        <v>101</v>
      </c>
      <c r="H12" s="4" t="n">
        <v>9480.35</v>
      </c>
      <c r="I12" s="3" t="s">
        <v>102</v>
      </c>
      <c r="J12" s="3" t="s">
        <v>103</v>
      </c>
      <c r="K12" s="2" t="s">
        <v>104</v>
      </c>
      <c r="L12" s="2"/>
      <c r="M12" s="3" t="s">
        <v>37</v>
      </c>
      <c r="N12" s="3" t="s">
        <v>38</v>
      </c>
      <c r="O12" s="2" t="s">
        <v>105</v>
      </c>
    </row>
    <row r="13" customFormat="false" ht="15" hidden="false" customHeight="false" outlineLevel="0" collapsed="false">
      <c r="A13" s="2" t="s">
        <v>106</v>
      </c>
      <c r="B13" s="3" t="s">
        <v>60</v>
      </c>
      <c r="C13" s="2" t="n">
        <v>8</v>
      </c>
      <c r="D13" s="3" t="s">
        <v>54</v>
      </c>
      <c r="E13" s="3" t="s">
        <v>107</v>
      </c>
      <c r="F13" s="3" t="s">
        <v>48</v>
      </c>
      <c r="G13" s="2" t="s">
        <v>108</v>
      </c>
      <c r="H13" s="4" t="n">
        <v>5963.62</v>
      </c>
      <c r="I13" s="3" t="s">
        <v>109</v>
      </c>
      <c r="J13" s="3" t="s">
        <v>110</v>
      </c>
      <c r="K13" s="2" t="s">
        <v>104</v>
      </c>
      <c r="L13" s="2"/>
      <c r="M13" s="3" t="s">
        <v>37</v>
      </c>
      <c r="N13" s="3" t="s">
        <v>38</v>
      </c>
      <c r="O13" s="2" t="s">
        <v>111</v>
      </c>
    </row>
    <row r="14" customFormat="false" ht="15" hidden="false" customHeight="false" outlineLevel="0" collapsed="false">
      <c r="A14" s="2" t="s">
        <v>112</v>
      </c>
      <c r="B14" s="3" t="s">
        <v>60</v>
      </c>
      <c r="C14" s="2" t="n">
        <v>9</v>
      </c>
      <c r="D14" s="3" t="s">
        <v>113</v>
      </c>
      <c r="E14" s="3" t="s">
        <v>114</v>
      </c>
      <c r="F14" s="3" t="s">
        <v>32</v>
      </c>
      <c r="G14" s="2" t="s">
        <v>115</v>
      </c>
      <c r="H14" s="4" t="n">
        <v>4414.41</v>
      </c>
      <c r="I14" s="3" t="s">
        <v>116</v>
      </c>
      <c r="J14" s="3" t="s">
        <v>117</v>
      </c>
      <c r="K14" s="2" t="s">
        <v>104</v>
      </c>
      <c r="L14" s="2"/>
      <c r="M14" s="3" t="s">
        <v>37</v>
      </c>
      <c r="N14" s="3" t="s">
        <v>38</v>
      </c>
      <c r="O14" s="2" t="s">
        <v>118</v>
      </c>
    </row>
    <row r="15" customFormat="false" ht="15" hidden="false" customHeight="false" outlineLevel="0" collapsed="false">
      <c r="A15" s="2" t="s">
        <v>119</v>
      </c>
      <c r="B15" s="3" t="s">
        <v>60</v>
      </c>
      <c r="C15" s="2" t="n">
        <v>10</v>
      </c>
      <c r="D15" s="3" t="s">
        <v>120</v>
      </c>
      <c r="E15" s="3" t="s">
        <v>121</v>
      </c>
      <c r="F15" s="3" t="s">
        <v>48</v>
      </c>
      <c r="G15" s="2" t="s">
        <v>122</v>
      </c>
      <c r="H15" s="4" t="n">
        <v>13638.1</v>
      </c>
      <c r="I15" s="3" t="s">
        <v>123</v>
      </c>
      <c r="J15" s="3" t="s">
        <v>124</v>
      </c>
      <c r="K15" s="2" t="s">
        <v>104</v>
      </c>
      <c r="L15" s="2"/>
      <c r="M15" s="3" t="s">
        <v>37</v>
      </c>
      <c r="N15" s="3" t="s">
        <v>38</v>
      </c>
      <c r="O15" s="2" t="s">
        <v>125</v>
      </c>
    </row>
    <row r="16" customFormat="false" ht="15" hidden="false" customHeight="false" outlineLevel="0" collapsed="false">
      <c r="A16" s="2" t="s">
        <v>126</v>
      </c>
      <c r="B16" s="3" t="s">
        <v>60</v>
      </c>
      <c r="C16" s="2" t="n">
        <v>11</v>
      </c>
      <c r="D16" s="3" t="s">
        <v>127</v>
      </c>
      <c r="E16" s="3" t="s">
        <v>128</v>
      </c>
      <c r="F16" s="3" t="s">
        <v>129</v>
      </c>
      <c r="G16" s="2" t="s">
        <v>130</v>
      </c>
      <c r="H16" s="4" t="n">
        <v>1298.78</v>
      </c>
      <c r="I16" s="3" t="s">
        <v>131</v>
      </c>
      <c r="J16" s="3" t="s">
        <v>132</v>
      </c>
      <c r="K16" s="2" t="s">
        <v>104</v>
      </c>
      <c r="L16" s="2"/>
      <c r="M16" s="3" t="s">
        <v>37</v>
      </c>
      <c r="N16" s="3" t="s">
        <v>38</v>
      </c>
      <c r="O16" s="2" t="s">
        <v>133</v>
      </c>
    </row>
    <row r="17" customFormat="false" ht="15" hidden="false" customHeight="false" outlineLevel="0" collapsed="false">
      <c r="A17" s="2" t="s">
        <v>134</v>
      </c>
      <c r="B17" s="3" t="s">
        <v>60</v>
      </c>
      <c r="C17" s="2" t="n">
        <v>12</v>
      </c>
      <c r="D17" s="3" t="s">
        <v>135</v>
      </c>
      <c r="E17" s="3" t="s">
        <v>136</v>
      </c>
      <c r="F17" s="3" t="s">
        <v>32</v>
      </c>
      <c r="G17" s="2" t="s">
        <v>137</v>
      </c>
      <c r="H17" s="4" t="n">
        <v>3894.1</v>
      </c>
      <c r="I17" s="3" t="s">
        <v>138</v>
      </c>
      <c r="J17" s="3" t="s">
        <v>139</v>
      </c>
      <c r="K17" s="2" t="s">
        <v>140</v>
      </c>
      <c r="L17" s="2"/>
      <c r="M17" s="3" t="s">
        <v>37</v>
      </c>
      <c r="N17" s="3" t="s">
        <v>38</v>
      </c>
      <c r="O17" s="2" t="s">
        <v>141</v>
      </c>
    </row>
    <row r="18" customFormat="false" ht="15" hidden="false" customHeight="false" outlineLevel="0" collapsed="false">
      <c r="A18" s="2" t="s">
        <v>142</v>
      </c>
      <c r="B18" s="3" t="s">
        <v>60</v>
      </c>
      <c r="C18" s="2" t="n">
        <v>13</v>
      </c>
      <c r="D18" s="3" t="s">
        <v>41</v>
      </c>
      <c r="E18" s="3" t="s">
        <v>143</v>
      </c>
      <c r="F18" s="3" t="s">
        <v>32</v>
      </c>
      <c r="G18" s="2" t="s">
        <v>144</v>
      </c>
      <c r="H18" s="4" t="n">
        <v>3255.91</v>
      </c>
      <c r="I18" s="3" t="s">
        <v>145</v>
      </c>
      <c r="J18" s="3" t="s">
        <v>146</v>
      </c>
      <c r="K18" s="2" t="s">
        <v>147</v>
      </c>
      <c r="L18" s="2"/>
      <c r="M18" s="3" t="s">
        <v>37</v>
      </c>
      <c r="N18" s="3" t="s">
        <v>38</v>
      </c>
      <c r="O18" s="2" t="s">
        <v>148</v>
      </c>
    </row>
    <row r="19" customFormat="false" ht="15" hidden="false" customHeight="false" outlineLevel="0" collapsed="false">
      <c r="A19" s="2" t="s">
        <v>149</v>
      </c>
      <c r="B19" s="3" t="s">
        <v>60</v>
      </c>
      <c r="C19" s="2" t="n">
        <v>14</v>
      </c>
      <c r="D19" s="3" t="s">
        <v>150</v>
      </c>
      <c r="E19" s="3" t="s">
        <v>151</v>
      </c>
      <c r="F19" s="3" t="s">
        <v>129</v>
      </c>
      <c r="G19" s="2" t="s">
        <v>152</v>
      </c>
      <c r="H19" s="4" t="n">
        <v>6567.27</v>
      </c>
      <c r="I19" s="3" t="s">
        <v>153</v>
      </c>
      <c r="J19" s="3" t="s">
        <v>154</v>
      </c>
      <c r="K19" s="2" t="s">
        <v>147</v>
      </c>
      <c r="L19" s="2"/>
      <c r="M19" s="3" t="s">
        <v>37</v>
      </c>
      <c r="N19" s="3" t="s">
        <v>38</v>
      </c>
      <c r="O19" s="2" t="s">
        <v>155</v>
      </c>
    </row>
    <row r="20" customFormat="false" ht="15" hidden="false" customHeight="false" outlineLevel="0" collapsed="false">
      <c r="A20" s="2" t="s">
        <v>156</v>
      </c>
      <c r="B20" s="3" t="s">
        <v>60</v>
      </c>
      <c r="C20" s="2" t="n">
        <v>15</v>
      </c>
      <c r="D20" s="3" t="s">
        <v>79</v>
      </c>
      <c r="E20" s="3" t="s">
        <v>157</v>
      </c>
      <c r="F20" s="3" t="s">
        <v>48</v>
      </c>
      <c r="G20" s="2" t="s">
        <v>158</v>
      </c>
      <c r="H20" s="4" t="n">
        <v>13386.29</v>
      </c>
      <c r="I20" s="3" t="s">
        <v>89</v>
      </c>
      <c r="J20" s="3" t="s">
        <v>159</v>
      </c>
      <c r="K20" s="2" t="s">
        <v>147</v>
      </c>
      <c r="L20" s="2"/>
      <c r="M20" s="3" t="s">
        <v>37</v>
      </c>
      <c r="N20" s="3" t="s">
        <v>38</v>
      </c>
      <c r="O20" s="2" t="s">
        <v>160</v>
      </c>
    </row>
    <row r="21" customFormat="false" ht="15" hidden="false" customHeight="false" outlineLevel="0" collapsed="false">
      <c r="A21" s="2" t="s">
        <v>161</v>
      </c>
      <c r="B21" s="3" t="s">
        <v>60</v>
      </c>
      <c r="C21" s="2" t="n">
        <v>16</v>
      </c>
      <c r="D21" s="3" t="s">
        <v>135</v>
      </c>
      <c r="E21" s="3" t="s">
        <v>162</v>
      </c>
      <c r="F21" s="3" t="s">
        <v>163</v>
      </c>
      <c r="G21" s="2" t="s">
        <v>164</v>
      </c>
      <c r="H21" s="4" t="n">
        <v>58164.15</v>
      </c>
      <c r="I21" s="3" t="s">
        <v>165</v>
      </c>
      <c r="J21" s="3" t="s">
        <v>166</v>
      </c>
      <c r="K21" s="2" t="s">
        <v>147</v>
      </c>
      <c r="L21" s="2"/>
      <c r="M21" s="3" t="s">
        <v>37</v>
      </c>
      <c r="N21" s="3" t="s">
        <v>38</v>
      </c>
      <c r="O21" s="2" t="s">
        <v>167</v>
      </c>
    </row>
    <row r="22" customFormat="false" ht="15" hidden="false" customHeight="false" outlineLevel="0" collapsed="false">
      <c r="A22" s="2" t="s">
        <v>168</v>
      </c>
      <c r="B22" s="3" t="s">
        <v>60</v>
      </c>
      <c r="C22" s="2" t="n">
        <v>17</v>
      </c>
      <c r="D22" s="3" t="s">
        <v>169</v>
      </c>
      <c r="E22" s="3" t="s">
        <v>170</v>
      </c>
      <c r="F22" s="3" t="s">
        <v>48</v>
      </c>
      <c r="G22" s="2" t="s">
        <v>171</v>
      </c>
      <c r="H22" s="4" t="n">
        <v>24043.97</v>
      </c>
      <c r="I22" s="3" t="s">
        <v>172</v>
      </c>
      <c r="J22" s="3" t="s">
        <v>173</v>
      </c>
      <c r="K22" s="2" t="s">
        <v>147</v>
      </c>
      <c r="L22" s="2"/>
      <c r="M22" s="3" t="s">
        <v>37</v>
      </c>
      <c r="N22" s="3" t="s">
        <v>38</v>
      </c>
      <c r="O22" s="2" t="s">
        <v>174</v>
      </c>
    </row>
    <row r="23" customFormat="false" ht="15" hidden="false" customHeight="false" outlineLevel="0" collapsed="false">
      <c r="A23" s="2" t="s">
        <v>175</v>
      </c>
      <c r="B23" s="3" t="s">
        <v>60</v>
      </c>
      <c r="C23" s="2" t="n">
        <v>18</v>
      </c>
      <c r="D23" s="3" t="s">
        <v>176</v>
      </c>
      <c r="E23" s="3" t="s">
        <v>177</v>
      </c>
      <c r="F23" s="3" t="s">
        <v>48</v>
      </c>
      <c r="G23" s="2" t="s">
        <v>178</v>
      </c>
      <c r="H23" s="4" t="n">
        <v>1677.17</v>
      </c>
      <c r="I23" s="3" t="s">
        <v>89</v>
      </c>
      <c r="J23" s="3" t="s">
        <v>179</v>
      </c>
      <c r="K23" s="2" t="s">
        <v>147</v>
      </c>
      <c r="L23" s="2"/>
      <c r="M23" s="3" t="s">
        <v>37</v>
      </c>
      <c r="N23" s="3" t="s">
        <v>38</v>
      </c>
      <c r="O23" s="2" t="s">
        <v>180</v>
      </c>
    </row>
    <row r="24" customFormat="false" ht="15" hidden="false" customHeight="false" outlineLevel="0" collapsed="false">
      <c r="A24" s="2" t="s">
        <v>181</v>
      </c>
      <c r="B24" s="3" t="s">
        <v>60</v>
      </c>
      <c r="C24" s="2" t="n">
        <v>19</v>
      </c>
      <c r="D24" s="3" t="s">
        <v>120</v>
      </c>
      <c r="E24" s="3" t="s">
        <v>182</v>
      </c>
      <c r="F24" s="3" t="s">
        <v>48</v>
      </c>
      <c r="G24" s="2" t="s">
        <v>183</v>
      </c>
      <c r="H24" s="4" t="n">
        <v>6478.03</v>
      </c>
      <c r="I24" s="3" t="s">
        <v>184</v>
      </c>
      <c r="J24" s="3" t="s">
        <v>185</v>
      </c>
      <c r="K24" s="2" t="s">
        <v>186</v>
      </c>
      <c r="L24" s="2"/>
      <c r="M24" s="3" t="s">
        <v>37</v>
      </c>
      <c r="N24" s="3" t="s">
        <v>38</v>
      </c>
      <c r="O24" s="2" t="s">
        <v>187</v>
      </c>
    </row>
  </sheetData>
  <autoFilter ref="A1:O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64"/>
    <col collapsed="false" customWidth="true" hidden="false" outlineLevel="0" max="4" min="4" style="0" width="22"/>
  </cols>
  <sheetData>
    <row r="1" customFormat="false" ht="33.75" hidden="false" customHeight="true" outlineLevel="0" collapsed="false">
      <c r="A1" s="1" t="s">
        <v>188</v>
      </c>
      <c r="B1" s="1" t="s">
        <v>189</v>
      </c>
      <c r="C1" s="1" t="s">
        <v>190</v>
      </c>
      <c r="D1" s="1" t="s">
        <v>191</v>
      </c>
    </row>
    <row r="2" customFormat="false" ht="15" hidden="false" customHeight="false" outlineLevel="0" collapsed="false">
      <c r="A2" s="3" t="s">
        <v>192</v>
      </c>
      <c r="B2" s="4" t="n">
        <f aca="false">SUM(案件登记!H2:H5)</f>
        <v>67837.86</v>
      </c>
      <c r="C2" s="3" t="s">
        <v>193</v>
      </c>
      <c r="D2" s="3" t="s">
        <v>194</v>
      </c>
    </row>
    <row r="3" customFormat="false" ht="15" hidden="false" customHeight="false" outlineLevel="0" collapsed="false">
      <c r="A3" s="3" t="s">
        <v>195</v>
      </c>
      <c r="B3" s="4" t="n">
        <f aca="false">SUM(案件登记!H6:H24)</f>
        <v>175052.88</v>
      </c>
      <c r="C3" s="3" t="s">
        <v>193</v>
      </c>
      <c r="D3" s="3" t="s">
        <v>196</v>
      </c>
    </row>
    <row r="4" customFormat="false" ht="15" hidden="false" customHeight="false" outlineLevel="0" collapsed="false">
      <c r="A4" s="3" t="s">
        <v>197</v>
      </c>
      <c r="B4" s="4" t="n">
        <f aca="false">SUM(B2:B3)</f>
        <v>242890.74</v>
      </c>
      <c r="C4" s="3" t="s">
        <v>198</v>
      </c>
      <c r="D4" s="3" t="s">
        <v>199</v>
      </c>
    </row>
    <row r="5" customFormat="false" ht="15" hidden="false" customHeight="false" outlineLevel="0" collapsed="false">
      <c r="A5" s="3" t="s">
        <v>200</v>
      </c>
      <c r="B5" s="4" t="n">
        <v>204.62</v>
      </c>
      <c r="C5" s="3" t="s">
        <v>201</v>
      </c>
      <c r="D5" s="3" t="s">
        <v>202</v>
      </c>
    </row>
    <row r="6" customFormat="false" ht="15" hidden="false" customHeight="false" outlineLevel="0" collapsed="false">
      <c r="A6" s="3" t="s">
        <v>203</v>
      </c>
      <c r="B6" s="2" t="n">
        <f aca="false">COUNTA(案件登记!A2:A5)</f>
        <v>4</v>
      </c>
      <c r="C6" s="3" t="s">
        <v>204</v>
      </c>
      <c r="D6" s="3" t="s">
        <v>194</v>
      </c>
    </row>
    <row r="7" customFormat="false" ht="15" hidden="false" customHeight="false" outlineLevel="0" collapsed="false">
      <c r="A7" s="3" t="s">
        <v>205</v>
      </c>
      <c r="B7" s="2" t="n">
        <f aca="false">COUNTA(案件登记!A6:A24)</f>
        <v>19</v>
      </c>
      <c r="C7" s="3" t="s">
        <v>206</v>
      </c>
      <c r="D7" s="3" t="s">
        <v>196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68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33.75" hidden="false" customHeight="true" outlineLevel="0" collapsed="false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</row>
    <row r="2" customFormat="false" ht="15" hidden="false" customHeight="false" outlineLevel="0" collapsed="false">
      <c r="A2" s="2" t="s">
        <v>213</v>
      </c>
      <c r="B2" s="3" t="s">
        <v>214</v>
      </c>
      <c r="C2" s="3" t="s">
        <v>215</v>
      </c>
      <c r="D2" s="3" t="s">
        <v>216</v>
      </c>
      <c r="E2" s="3" t="s">
        <v>217</v>
      </c>
      <c r="F2" s="3" t="s">
        <v>218</v>
      </c>
    </row>
    <row r="3" customFormat="false" ht="15" hidden="false" customHeight="false" outlineLevel="0" collapsed="false">
      <c r="A3" s="2" t="s">
        <v>219</v>
      </c>
      <c r="B3" s="3" t="s">
        <v>220</v>
      </c>
      <c r="C3" s="3" t="s">
        <v>221</v>
      </c>
      <c r="D3" s="3" t="s">
        <v>222</v>
      </c>
      <c r="E3" s="3" t="s">
        <v>217</v>
      </c>
      <c r="F3" s="3" t="s">
        <v>218</v>
      </c>
    </row>
    <row r="4" customFormat="false" ht="15" hidden="false" customHeight="false" outlineLevel="0" collapsed="false">
      <c r="A4" s="2" t="s">
        <v>223</v>
      </c>
      <c r="B4" s="3" t="s">
        <v>224</v>
      </c>
      <c r="C4" s="3" t="s">
        <v>225</v>
      </c>
      <c r="D4" s="3" t="s">
        <v>226</v>
      </c>
      <c r="E4" s="3" t="s">
        <v>217</v>
      </c>
      <c r="F4" s="3" t="s">
        <v>218</v>
      </c>
    </row>
    <row r="5" customFormat="false" ht="15" hidden="false" customHeight="false" outlineLevel="0" collapsed="false">
      <c r="A5" s="2" t="s">
        <v>227</v>
      </c>
      <c r="B5" s="3" t="s">
        <v>228</v>
      </c>
      <c r="C5" s="3" t="s">
        <v>229</v>
      </c>
      <c r="D5" s="3" t="s">
        <v>230</v>
      </c>
      <c r="E5" s="3" t="s">
        <v>217</v>
      </c>
      <c r="F5" s="3" t="s">
        <v>218</v>
      </c>
    </row>
    <row r="6" customFormat="false" ht="15" hidden="false" customHeight="false" outlineLevel="0" collapsed="false">
      <c r="A6" s="2" t="s">
        <v>231</v>
      </c>
      <c r="B6" s="3" t="s">
        <v>232</v>
      </c>
      <c r="C6" s="3" t="s">
        <v>233</v>
      </c>
      <c r="D6" s="3" t="s">
        <v>234</v>
      </c>
      <c r="E6" s="3" t="s">
        <v>235</v>
      </c>
      <c r="F6" s="3" t="s">
        <v>218</v>
      </c>
    </row>
    <row r="7" customFormat="false" ht="15" hidden="false" customHeight="false" outlineLevel="0" collapsed="false">
      <c r="A7" s="2" t="s">
        <v>236</v>
      </c>
      <c r="B7" s="3" t="s">
        <v>237</v>
      </c>
      <c r="C7" s="3" t="s">
        <v>238</v>
      </c>
      <c r="D7" s="3" t="s">
        <v>239</v>
      </c>
      <c r="E7" s="3" t="s">
        <v>217</v>
      </c>
      <c r="F7" s="3" t="s">
        <v>240</v>
      </c>
    </row>
    <row r="8" customFormat="false" ht="15" hidden="false" customHeight="false" outlineLevel="0" collapsed="false">
      <c r="A8" s="2" t="s">
        <v>141</v>
      </c>
      <c r="B8" s="2" t="s">
        <v>134</v>
      </c>
      <c r="C8" s="3" t="s">
        <v>241</v>
      </c>
      <c r="D8" s="3" t="s">
        <v>242</v>
      </c>
      <c r="E8" s="3" t="s">
        <v>217</v>
      </c>
      <c r="F8" s="3" t="s">
        <v>243</v>
      </c>
    </row>
    <row r="9" customFormat="false" ht="15" hidden="false" customHeight="false" outlineLevel="0" collapsed="false">
      <c r="A9" s="2" t="s">
        <v>167</v>
      </c>
      <c r="B9" s="2" t="s">
        <v>161</v>
      </c>
      <c r="C9" s="3" t="s">
        <v>244</v>
      </c>
      <c r="D9" s="3" t="s">
        <v>245</v>
      </c>
      <c r="E9" s="3" t="s">
        <v>217</v>
      </c>
      <c r="F9" s="3" t="s">
        <v>246</v>
      </c>
    </row>
    <row r="10" customFormat="false" ht="15" hidden="false" customHeight="false" outlineLevel="0" collapsed="false">
      <c r="A10" s="2" t="s">
        <v>155</v>
      </c>
      <c r="B10" s="2" t="s">
        <v>149</v>
      </c>
      <c r="C10" s="3" t="s">
        <v>247</v>
      </c>
      <c r="D10" s="3" t="s">
        <v>248</v>
      </c>
      <c r="E10" s="3" t="s">
        <v>235</v>
      </c>
      <c r="F10" s="3" t="s">
        <v>249</v>
      </c>
    </row>
    <row r="11" customFormat="false" ht="15" hidden="false" customHeight="false" outlineLevel="0" collapsed="false">
      <c r="A11" s="2" t="s">
        <v>250</v>
      </c>
      <c r="B11" s="3" t="s">
        <v>251</v>
      </c>
      <c r="C11" s="3" t="s">
        <v>252</v>
      </c>
      <c r="D11" s="3" t="s">
        <v>253</v>
      </c>
      <c r="E11" s="3" t="s">
        <v>217</v>
      </c>
      <c r="F11" s="3" t="s">
        <v>254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2026-10-13T18:05:19Z</dcterms:created>
  <dc:creator>openpyxl</dc:creator>
  <dc:description/>
  <dc:language>en-US</dc:language>
  <cp:lastModifiedBy/>
  <dcterms:modified xsi:type="dcterms:W3CDTF">2026-10-13T18:05:19Z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
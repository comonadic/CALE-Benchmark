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材料索引" sheetId="1" state="visible" r:id="rId2"/>
    <sheet name="案件登记" sheetId="2" state="visible" r:id="rId3"/>
    <sheet name="金额汇总" sheetId="3" state="visible" r:id="rId4"/>
    <sheet name="时间线与进展" sheetId="4" state="visible" r:id="rId5"/>
    <sheet name="补件台账" sheetId="5" state="visible" r:id="rId6"/>
  </sheets>
  <definedNames>
    <definedName function="false" hidden="false" localSheetId="3" name="_xlnm.Print_Titles" vbProcedure="false">时间线与进展!$1:$1</definedName>
    <definedName function="false" hidden="true" localSheetId="3" name="_xlnm._FilterDatabase" vbProcedure="false">时间线与进展!$A$1:$I$54</definedName>
    <definedName function="false" hidden="false" localSheetId="0" name="_xlnm.Print_Titles" vbProcedure="false">材料索引!$1:$1</definedName>
    <definedName function="false" hidden="true" localSheetId="0" name="_xlnm._FilterDatabase" vbProcedure="false">材料索引!$A$1:$J$2</definedName>
    <definedName function="false" hidden="false" localSheetId="1" name="_xlnm.Print_Titles" vbProcedure="false">案件登记!$1:$1</definedName>
    <definedName function="false" hidden="true" localSheetId="1" name="_xlnm._FilterDatabase" vbProcedure="false">案件登记!$A$1:$U$24</definedName>
    <definedName function="false" hidden="false" localSheetId="4" name="_xlnm.Print_Titles" vbProcedure="false">补件台账!$1:$1</definedName>
    <definedName function="false" hidden="true" localSheetId="4" name="_xlnm._FilterDatabase" vbProcedure="false">补件台账!$A$1:$N$186</definedName>
    <definedName function="false" hidden="false" localSheetId="2" name="_xlnm.Print_Titles" vbProcedure="false">金额汇总!$1:$1</definedName>
    <definedName function="false" hidden="true" localSheetId="2" name="_xlnm._FilterDatabase" vbProcedure="false">金额汇总!$A$1:$E$11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<sst xmlns="http://schemas.openxmlformats.org/spreadsheetml/2006/main" count="2544" uniqueCount="535">
  <si>
    <t xml:space="preserve">材料码</t>
  </si>
  <si>
    <t xml:space="preserve">文件名</t>
  </si>
  <si>
    <t xml:space="preserve">公告编号</t>
  </si>
  <si>
    <t xml:space="preserve">公告日期</t>
  </si>
  <si>
    <t xml:space="preserve">实际页数</t>
  </si>
  <si>
    <t xml:space="preserve">来源路径</t>
  </si>
  <si>
    <t xml:space="preserve">公告所述证明范围</t>
  </si>
  <si>
    <t xml:space="preserve">事实角色</t>
  </si>
  <si>
    <t xml:space="preserve">核验状态</t>
  </si>
  <si>
    <t xml:space="preserve">SHA256</t>
  </si>
  <si>
    <t xml:space="preserve">ANN-20260822</t>
  </si>
  <si>
    <r>
      <rPr>
        <sz val="10"/>
        <rFont val="Cambria"/>
        <family val="0"/>
        <charset val="1"/>
      </rPr>
      <t xml:space="preserve">CN-1225489930_</t>
    </r>
    <r>
      <rPr>
        <sz val="10"/>
        <rFont val="Noto Sans CJK SC"/>
        <family val="2"/>
      </rPr>
      <t xml:space="preserve">重庆建工涉及诉讼公告</t>
    </r>
    <r>
      <rPr>
        <sz val="10"/>
        <rFont val="Cambria"/>
        <family val="0"/>
        <charset val="1"/>
      </rPr>
      <t xml:space="preserve">_2026-08-22.pdf</t>
    </r>
  </si>
  <si>
    <r>
      <rPr>
        <sz val="10"/>
        <rFont val="Noto Sans CJK SC"/>
        <family val="2"/>
      </rPr>
      <t xml:space="preserve">临</t>
    </r>
    <r>
      <rPr>
        <sz val="10"/>
        <rFont val="Cambria"/>
        <family val="0"/>
        <charset val="1"/>
      </rPr>
      <t xml:space="preserve">2026-043</t>
    </r>
  </si>
  <si>
    <r>
      <rPr>
        <sz val="10"/>
        <rFont val="Cambria"/>
        <family val="0"/>
        <charset val="1"/>
      </rPr>
      <t xml:space="preserve">/workspace/input-data/CN-1225489930_</t>
    </r>
    <r>
      <rPr>
        <sz val="10"/>
        <rFont val="Noto Sans CJK SC"/>
        <family val="2"/>
      </rPr>
      <t xml:space="preserve">重庆建工涉及诉讼公告</t>
    </r>
    <r>
      <rPr>
        <sz val="10"/>
        <rFont val="Cambria"/>
        <family val="0"/>
        <charset val="1"/>
      </rPr>
      <t xml:space="preserve">_2026-08-22.pdf</t>
    </r>
  </si>
  <si>
    <t xml:space="preserve">仅证明发行人披露内容及公告日期；不证明案件事实或裁判主文</t>
  </si>
  <si>
    <t xml:space="preserve">发行人摘要披露</t>
  </si>
  <si>
    <r>
      <rPr>
        <sz val="10"/>
        <rFont val="Noto Sans CJK SC"/>
        <family val="2"/>
      </rPr>
      <t xml:space="preserve">已核对给定</t>
    </r>
    <r>
      <rPr>
        <sz val="10"/>
        <rFont val="Cambria"/>
        <family val="0"/>
        <charset val="1"/>
      </rPr>
      <t xml:space="preserve">PDF</t>
    </r>
    <r>
      <rPr>
        <sz val="10"/>
        <rFont val="Noto Sans CJK SC"/>
        <family val="2"/>
      </rPr>
      <t xml:space="preserve">；案件原件未取得</t>
    </r>
  </si>
  <si>
    <t xml:space="preserve">682acdfa0d8a2a8334c0c910b5a8c7ef4ffa3a0d0c8e650d85d73132dd10f6d0</t>
  </si>
  <si>
    <t xml:space="preserve">内部整理码</t>
  </si>
  <si>
    <t xml:space="preserve">公告分组</t>
  </si>
  <si>
    <t xml:space="preserve">公告序号</t>
  </si>
  <si>
    <t xml:space="preserve">公告提交编号</t>
  </si>
  <si>
    <t xml:space="preserve">原告（本诉）</t>
  </si>
  <si>
    <t xml:space="preserve">被告（本诉）</t>
  </si>
  <si>
    <t xml:space="preserve">第三人</t>
  </si>
  <si>
    <t xml:space="preserve">案由</t>
  </si>
  <si>
    <t xml:space="preserve">公告案号</t>
  </si>
  <si>
    <t xml:space="preserve">涉案金额（万元，本诉）</t>
  </si>
  <si>
    <t xml:space="preserve">反诉涉案金额（万元）</t>
  </si>
  <si>
    <t xml:space="preserve">受理法院（公告原文）</t>
  </si>
  <si>
    <t xml:space="preserve">公告所述进展</t>
  </si>
  <si>
    <t xml:space="preserve">原件页码</t>
  </si>
  <si>
    <t xml:space="preserve">程序事件日期</t>
  </si>
  <si>
    <t xml:space="preserve">待核实日期</t>
  </si>
  <si>
    <t xml:space="preserve">进展分类</t>
  </si>
  <si>
    <t xml:space="preserve">专项提示</t>
  </si>
  <si>
    <t xml:space="preserve">ANN-20260822-N01</t>
  </si>
  <si>
    <t xml:space="preserve">新案</t>
  </si>
  <si>
    <r>
      <rPr>
        <sz val="10"/>
        <rFont val="Noto Sans CJK SC"/>
        <family val="2"/>
      </rPr>
      <t xml:space="preserve">一</t>
    </r>
    <r>
      <rPr>
        <sz val="10"/>
        <rFont val="Cambria"/>
        <family val="0"/>
        <charset val="1"/>
      </rPr>
      <t xml:space="preserve">-01</t>
    </r>
  </si>
  <si>
    <t xml:space="preserve">重庆交通建设（集团）有限责任公司</t>
  </si>
  <si>
    <t xml:space="preserve">泸溪县干线公路建设有限责任公司</t>
  </si>
  <si>
    <t xml:space="preserve">建设工程合同纠纷</t>
  </si>
  <si>
    <r>
      <rPr>
        <sz val="10"/>
        <rFont val="Cambria"/>
        <family val="0"/>
        <charset val="1"/>
      </rPr>
      <t xml:space="preserve">(2026)</t>
    </r>
    <r>
      <rPr>
        <sz val="10"/>
        <rFont val="Noto Sans CJK SC"/>
        <family val="2"/>
      </rPr>
      <t xml:space="preserve">湘</t>
    </r>
    <r>
      <rPr>
        <sz val="10"/>
        <rFont val="Cambria"/>
        <family val="0"/>
        <charset val="1"/>
      </rPr>
      <t xml:space="preserve">3122</t>
    </r>
    <r>
      <rPr>
        <sz val="10"/>
        <rFont val="Noto Sans CJK SC"/>
        <family val="2"/>
      </rPr>
      <t xml:space="preserve">民初</t>
    </r>
    <r>
      <rPr>
        <sz val="10"/>
        <rFont val="Cambria"/>
        <family val="0"/>
        <charset val="1"/>
      </rPr>
      <t xml:space="preserve">49</t>
    </r>
    <r>
      <rPr>
        <sz val="10"/>
        <rFont val="Noto Sans CJK SC"/>
        <family val="2"/>
      </rPr>
      <t xml:space="preserve">号</t>
    </r>
  </si>
  <si>
    <t xml:space="preserve">湖南省泸溪县人民法院</t>
  </si>
  <si>
    <t xml:space="preserve">目前一审审理中。</t>
  </si>
  <si>
    <t xml:space="preserve">1</t>
  </si>
  <si>
    <t xml:space="preserve">一审审理中</t>
  </si>
  <si>
    <t xml:space="preserve">主体／金额为发行人摘要；裁判／履行为公告转述，非已核验事实</t>
  </si>
  <si>
    <t xml:space="preserve">仅核对公告；案件原始材料未取得，待核实</t>
  </si>
  <si>
    <t xml:space="preserve">原告非重庆建工本体</t>
  </si>
  <si>
    <t xml:space="preserve">ANN-20260822-N02</t>
  </si>
  <si>
    <r>
      <rPr>
        <sz val="10"/>
        <rFont val="Noto Sans CJK SC"/>
        <family val="2"/>
      </rPr>
      <t xml:space="preserve">一</t>
    </r>
    <r>
      <rPr>
        <sz val="10"/>
        <rFont val="Cambria"/>
        <family val="0"/>
        <charset val="1"/>
      </rPr>
      <t xml:space="preserve">-02</t>
    </r>
  </si>
  <si>
    <t xml:space="preserve">重庆建工</t>
  </si>
  <si>
    <t xml:space="preserve">四川巴中宏德置业有限公司</t>
  </si>
  <si>
    <r>
      <rPr>
        <sz val="10"/>
        <rFont val="Cambria"/>
        <family val="0"/>
        <charset val="1"/>
      </rPr>
      <t xml:space="preserve">(2026)</t>
    </r>
    <r>
      <rPr>
        <sz val="10"/>
        <rFont val="Noto Sans CJK SC"/>
        <family val="2"/>
      </rPr>
      <t xml:space="preserve">川</t>
    </r>
    <r>
      <rPr>
        <sz val="10"/>
        <rFont val="Cambria"/>
        <family val="0"/>
        <charset val="1"/>
      </rPr>
      <t xml:space="preserve">1902</t>
    </r>
    <r>
      <rPr>
        <sz val="10"/>
        <rFont val="Noto Sans CJK SC"/>
        <family val="2"/>
      </rPr>
      <t xml:space="preserve">民初</t>
    </r>
    <r>
      <rPr>
        <sz val="10"/>
        <rFont val="Cambria"/>
        <family val="0"/>
        <charset val="1"/>
      </rPr>
      <t xml:space="preserve">4724</t>
    </r>
    <r>
      <rPr>
        <sz val="10"/>
        <rFont val="Noto Sans CJK SC"/>
        <family val="2"/>
      </rPr>
      <t xml:space="preserve">号</t>
    </r>
  </si>
  <si>
    <t xml:space="preserve">巴中市巴州区人民法院</t>
  </si>
  <si>
    <t xml:space="preserve">ANN-20260822-N03</t>
  </si>
  <si>
    <r>
      <rPr>
        <sz val="10"/>
        <rFont val="Noto Sans CJK SC"/>
        <family val="2"/>
      </rPr>
      <t xml:space="preserve">一</t>
    </r>
    <r>
      <rPr>
        <sz val="10"/>
        <rFont val="Cambria"/>
        <family val="0"/>
        <charset val="1"/>
      </rPr>
      <t xml:space="preserve">-03</t>
    </r>
  </si>
  <si>
    <t xml:space="preserve">云阳县宏荣路桥工程有限公司</t>
  </si>
  <si>
    <t xml:space="preserve">建设工程施工合同纠纷</t>
  </si>
  <si>
    <r>
      <rPr>
        <sz val="10"/>
        <rFont val="Cambria"/>
        <family val="0"/>
        <charset val="1"/>
      </rPr>
      <t xml:space="preserve">(2026)</t>
    </r>
    <r>
      <rPr>
        <sz val="10"/>
        <rFont val="Noto Sans CJK SC"/>
        <family val="2"/>
      </rPr>
      <t xml:space="preserve">渝</t>
    </r>
    <r>
      <rPr>
        <sz val="10"/>
        <rFont val="Cambria"/>
        <family val="0"/>
        <charset val="1"/>
      </rPr>
      <t xml:space="preserve">0235</t>
    </r>
    <r>
      <rPr>
        <sz val="10"/>
        <rFont val="Noto Sans CJK SC"/>
        <family val="2"/>
      </rPr>
      <t xml:space="preserve">民初</t>
    </r>
    <r>
      <rPr>
        <sz val="10"/>
        <rFont val="Cambria"/>
        <family val="0"/>
        <charset val="1"/>
      </rPr>
      <t xml:space="preserve">6507</t>
    </r>
    <r>
      <rPr>
        <sz val="10"/>
        <rFont val="Noto Sans CJK SC"/>
        <family val="2"/>
      </rPr>
      <t xml:space="preserve">号</t>
    </r>
  </si>
  <si>
    <t xml:space="preserve">云阳县人民法院</t>
  </si>
  <si>
    <t xml:space="preserve">2</t>
  </si>
  <si>
    <t xml:space="preserve">ANN-20260822-N04</t>
  </si>
  <si>
    <r>
      <rPr>
        <sz val="10"/>
        <rFont val="Noto Sans CJK SC"/>
        <family val="2"/>
      </rPr>
      <t xml:space="preserve">一</t>
    </r>
    <r>
      <rPr>
        <sz val="10"/>
        <rFont val="Cambria"/>
        <family val="0"/>
        <charset val="1"/>
      </rPr>
      <t xml:space="preserve">-04</t>
    </r>
  </si>
  <si>
    <t xml:space="preserve">重庆工业设备安装集团有限公司</t>
  </si>
  <si>
    <t xml:space="preserve">赛鼎工程有限公司、阿拉善盟东海新能源实业有限公司、阿拉善盟沪蒙能源实业有限公司</t>
  </si>
  <si>
    <r>
      <rPr>
        <sz val="10"/>
        <rFont val="Cambria"/>
        <family val="0"/>
        <charset val="1"/>
      </rPr>
      <t xml:space="preserve">(2026)</t>
    </r>
    <r>
      <rPr>
        <sz val="10"/>
        <rFont val="Noto Sans CJK SC"/>
        <family val="2"/>
      </rPr>
      <t xml:space="preserve">内</t>
    </r>
    <r>
      <rPr>
        <sz val="10"/>
        <rFont val="Cambria"/>
        <family val="0"/>
        <charset val="1"/>
      </rPr>
      <t xml:space="preserve">29</t>
    </r>
    <r>
      <rPr>
        <sz val="10"/>
        <rFont val="Noto Sans CJK SC"/>
        <family val="2"/>
      </rPr>
      <t xml:space="preserve">民初</t>
    </r>
    <r>
      <rPr>
        <sz val="10"/>
        <rFont val="Cambria"/>
        <family val="0"/>
        <charset val="1"/>
      </rPr>
      <t xml:space="preserve">5</t>
    </r>
    <r>
      <rPr>
        <sz val="10"/>
        <rFont val="Noto Sans CJK SC"/>
        <family val="2"/>
      </rPr>
      <t xml:space="preserve">号</t>
    </r>
  </si>
  <si>
    <t xml:space="preserve">内蒙古自治区阿拉善盟中级人民法院</t>
  </si>
  <si>
    <t xml:space="preserve">ANN-20260822-P01</t>
  </si>
  <si>
    <t xml:space="preserve">前期案件</t>
  </si>
  <si>
    <r>
      <rPr>
        <sz val="10"/>
        <rFont val="Noto Sans CJK SC"/>
        <family val="2"/>
      </rPr>
      <t xml:space="preserve">二</t>
    </r>
    <r>
      <rPr>
        <sz val="10"/>
        <rFont val="Cambria"/>
        <family val="0"/>
        <charset val="1"/>
      </rPr>
      <t xml:space="preserve">-01</t>
    </r>
  </si>
  <si>
    <t xml:space="preserve">毕节市博泰房地产开发有限责任公司</t>
  </si>
  <si>
    <r>
      <rPr>
        <sz val="10"/>
        <rFont val="Cambria"/>
        <family val="0"/>
        <charset val="1"/>
      </rPr>
      <t xml:space="preserve">(2017)</t>
    </r>
    <r>
      <rPr>
        <sz val="10"/>
        <rFont val="Noto Sans CJK SC"/>
        <family val="2"/>
      </rPr>
      <t xml:space="preserve">黔</t>
    </r>
    <r>
      <rPr>
        <sz val="10"/>
        <rFont val="Cambria"/>
        <family val="0"/>
        <charset val="1"/>
      </rPr>
      <t xml:space="preserve">05</t>
    </r>
    <r>
      <rPr>
        <sz val="10"/>
        <rFont val="Noto Sans CJK SC"/>
        <family val="2"/>
      </rPr>
      <t xml:space="preserve">民初</t>
    </r>
    <r>
      <rPr>
        <sz val="10"/>
        <rFont val="Cambria"/>
        <family val="0"/>
        <charset val="1"/>
      </rPr>
      <t xml:space="preserve">187</t>
    </r>
    <r>
      <rPr>
        <sz val="10"/>
        <rFont val="Noto Sans CJK SC"/>
        <family val="2"/>
      </rPr>
      <t xml:space="preserve">号</t>
    </r>
  </si>
  <si>
    <t xml:space="preserve">贵州省毕节市中级人民法院、贵州省高级人民法院</t>
  </si>
  <si>
    <r>
      <rPr>
        <sz val="10"/>
        <rFont val="Noto Sans CJK SC"/>
        <family val="2"/>
      </rPr>
      <t xml:space="preserve">一审判决被告支付工程款</t>
    </r>
    <r>
      <rPr>
        <sz val="10"/>
        <rFont val="Cambria"/>
        <family val="0"/>
        <charset val="1"/>
      </rPr>
      <t xml:space="preserve">680.64</t>
    </r>
    <r>
      <rPr>
        <sz val="10"/>
        <rFont val="Noto Sans CJK SC"/>
        <family val="2"/>
      </rPr>
      <t xml:space="preserve">万元，保修金</t>
    </r>
    <r>
      <rPr>
        <sz val="10"/>
        <rFont val="Cambria"/>
        <family val="0"/>
        <charset val="1"/>
      </rPr>
      <t xml:space="preserve">315.56</t>
    </r>
    <r>
      <rPr>
        <sz val="10"/>
        <rFont val="Noto Sans CJK SC"/>
        <family val="2"/>
      </rPr>
      <t xml:space="preserve">万元及利息。二审驳回上诉，维持原判。被告已履行完毕。</t>
    </r>
  </si>
  <si>
    <t xml:space="preserve">履行完毕</t>
  </si>
  <si>
    <t xml:space="preserve">调取两审裁判、送达生效及工程款、保修金、利息收款核销，核实履行完毕。</t>
  </si>
  <si>
    <t xml:space="preserve">ANN-20260822-P02</t>
  </si>
  <si>
    <r>
      <rPr>
        <sz val="10"/>
        <rFont val="Noto Sans CJK SC"/>
        <family val="2"/>
      </rPr>
      <t xml:space="preserve">二</t>
    </r>
    <r>
      <rPr>
        <sz val="10"/>
        <rFont val="Cambria"/>
        <family val="0"/>
        <charset val="1"/>
      </rPr>
      <t xml:space="preserve">-02</t>
    </r>
  </si>
  <si>
    <t xml:space="preserve">中京博泰毕节地产置业有限公司、毕节市博泰房地产开发有限责任公司</t>
  </si>
  <si>
    <r>
      <rPr>
        <sz val="10"/>
        <rFont val="Cambria"/>
        <family val="0"/>
        <charset val="1"/>
      </rPr>
      <t xml:space="preserve">(2017)</t>
    </r>
    <r>
      <rPr>
        <sz val="10"/>
        <rFont val="Noto Sans CJK SC"/>
        <family val="2"/>
      </rPr>
      <t xml:space="preserve">黔</t>
    </r>
    <r>
      <rPr>
        <sz val="10"/>
        <rFont val="Cambria"/>
        <family val="0"/>
        <charset val="1"/>
      </rPr>
      <t xml:space="preserve">05</t>
    </r>
    <r>
      <rPr>
        <sz val="10"/>
        <rFont val="Noto Sans CJK SC"/>
        <family val="2"/>
      </rPr>
      <t xml:space="preserve">民初</t>
    </r>
    <r>
      <rPr>
        <sz val="10"/>
        <rFont val="Cambria"/>
        <family val="0"/>
        <charset val="1"/>
      </rPr>
      <t xml:space="preserve">188</t>
    </r>
    <r>
      <rPr>
        <sz val="10"/>
        <rFont val="Noto Sans CJK SC"/>
        <family val="2"/>
      </rPr>
      <t xml:space="preserve">号</t>
    </r>
  </si>
  <si>
    <r>
      <rPr>
        <sz val="10"/>
        <rFont val="Noto Sans CJK SC"/>
        <family val="2"/>
      </rPr>
      <t xml:space="preserve">一审判决中京博泰毕节地产置业有限公司支付工程款</t>
    </r>
    <r>
      <rPr>
        <sz val="10"/>
        <rFont val="Cambria"/>
        <family val="0"/>
        <charset val="1"/>
      </rPr>
      <t xml:space="preserve">2179.04</t>
    </r>
    <r>
      <rPr>
        <sz val="10"/>
        <rFont val="Noto Sans CJK SC"/>
        <family val="2"/>
      </rPr>
      <t xml:space="preserve">万元（含</t>
    </r>
    <r>
      <rPr>
        <sz val="10"/>
        <rFont val="Cambria"/>
        <family val="0"/>
        <charset val="1"/>
      </rPr>
      <t xml:space="preserve">500.00</t>
    </r>
    <r>
      <rPr>
        <sz val="10"/>
        <rFont val="Noto Sans CJK SC"/>
        <family val="2"/>
      </rPr>
      <t xml:space="preserve">万元补偿金）及利息，支付保证金</t>
    </r>
    <r>
      <rPr>
        <sz val="10"/>
        <rFont val="Cambria"/>
        <family val="0"/>
        <charset val="1"/>
      </rPr>
      <t xml:space="preserve">148.15</t>
    </r>
    <r>
      <rPr>
        <sz val="10"/>
        <rFont val="Noto Sans CJK SC"/>
        <family val="2"/>
      </rPr>
      <t xml:space="preserve">万元及利息，毕节市博泰房地产开发公司对补偿金及利息承担连带责任。二审驳回上诉，维持原判。被告已履行完毕。</t>
    </r>
  </si>
  <si>
    <r>
      <rPr>
        <sz val="10"/>
        <rFont val="Noto Sans CJK SC"/>
        <family val="2"/>
      </rPr>
      <t xml:space="preserve">核对主体栏与进展栏被告名称差异、连带责任主文；</t>
    </r>
    <r>
      <rPr>
        <sz val="10"/>
        <rFont val="Cambria"/>
        <family val="0"/>
        <charset val="1"/>
      </rPr>
      <t xml:space="preserve">500.00</t>
    </r>
    <r>
      <rPr>
        <sz val="10"/>
        <rFont val="Noto Sans CJK SC"/>
        <family val="2"/>
      </rPr>
      <t xml:space="preserve">万元已包含在</t>
    </r>
    <r>
      <rPr>
        <sz val="10"/>
        <rFont val="Cambria"/>
        <family val="0"/>
        <charset val="1"/>
      </rPr>
      <t xml:space="preserve">2179.04</t>
    </r>
    <r>
      <rPr>
        <sz val="10"/>
        <rFont val="Noto Sans CJK SC"/>
        <family val="2"/>
      </rPr>
      <t xml:space="preserve">万元内，不重复加总；调取分别收款。</t>
    </r>
  </si>
  <si>
    <t xml:space="preserve">ANN-20260822-P03</t>
  </si>
  <si>
    <r>
      <rPr>
        <sz val="10"/>
        <rFont val="Noto Sans CJK SC"/>
        <family val="2"/>
      </rPr>
      <t xml:space="preserve">二</t>
    </r>
    <r>
      <rPr>
        <sz val="10"/>
        <rFont val="Cambria"/>
        <family val="0"/>
        <charset val="1"/>
      </rPr>
      <t xml:space="preserve">-03</t>
    </r>
  </si>
  <si>
    <t xml:space="preserve">重庆城建控股（集团）有限责任公司</t>
  </si>
  <si>
    <t xml:space="preserve">重庆双驰建筑劳务有限公司</t>
  </si>
  <si>
    <t xml:space="preserve">廖世华</t>
  </si>
  <si>
    <r>
      <rPr>
        <sz val="10"/>
        <rFont val="Cambria"/>
        <family val="0"/>
        <charset val="1"/>
      </rPr>
      <t xml:space="preserve">(2024)</t>
    </r>
    <r>
      <rPr>
        <sz val="10"/>
        <rFont val="Noto Sans CJK SC"/>
        <family val="2"/>
      </rPr>
      <t xml:space="preserve">皖</t>
    </r>
    <r>
      <rPr>
        <sz val="10"/>
        <rFont val="Cambria"/>
        <family val="0"/>
        <charset val="1"/>
      </rPr>
      <t xml:space="preserve">1202</t>
    </r>
    <r>
      <rPr>
        <sz val="10"/>
        <rFont val="Noto Sans CJK SC"/>
        <family val="2"/>
      </rPr>
      <t xml:space="preserve">民初</t>
    </r>
    <r>
      <rPr>
        <sz val="10"/>
        <rFont val="Cambria"/>
        <family val="0"/>
        <charset val="1"/>
      </rPr>
      <t xml:space="preserve">8782</t>
    </r>
    <r>
      <rPr>
        <sz val="10"/>
        <rFont val="Noto Sans CJK SC"/>
        <family val="2"/>
      </rPr>
      <t xml:space="preserve">号</t>
    </r>
  </si>
  <si>
    <t xml:space="preserve">安徽省阜阳市颍州区人民法院、安徽省阜阳市中级人民法院</t>
  </si>
  <si>
    <t xml:space="preserve">一审判决驳回原告的诉讼请求。二审判决维持原判。被告不承担责任。</t>
  </si>
  <si>
    <t xml:space="preserve">二审维持驳回诉请</t>
  </si>
  <si>
    <t xml:space="preserve">调取第三人参加文件及两审裁判，核实驳回诉请范围，廖世华不是被告。</t>
  </si>
  <si>
    <t xml:space="preserve">ANN-20260822-P04</t>
  </si>
  <si>
    <r>
      <rPr>
        <sz val="10"/>
        <rFont val="Noto Sans CJK SC"/>
        <family val="2"/>
      </rPr>
      <t xml:space="preserve">二</t>
    </r>
    <r>
      <rPr>
        <sz val="10"/>
        <rFont val="Cambria"/>
        <family val="0"/>
        <charset val="1"/>
      </rPr>
      <t xml:space="preserve">-04</t>
    </r>
  </si>
  <si>
    <t xml:space="preserve">阿勒泰卓渝建筑工程有限责任公司</t>
  </si>
  <si>
    <t xml:space="preserve">贵州西凯三友房地产开发有限公司</t>
  </si>
  <si>
    <r>
      <rPr>
        <sz val="10"/>
        <rFont val="Cambria"/>
        <family val="0"/>
        <charset val="1"/>
      </rPr>
      <t xml:space="preserve">(2024)</t>
    </r>
    <r>
      <rPr>
        <sz val="10"/>
        <rFont val="Noto Sans CJK SC"/>
        <family val="2"/>
      </rPr>
      <t xml:space="preserve">黔</t>
    </r>
    <r>
      <rPr>
        <sz val="10"/>
        <rFont val="Cambria"/>
        <family val="0"/>
        <charset val="1"/>
      </rPr>
      <t xml:space="preserve">0526</t>
    </r>
    <r>
      <rPr>
        <sz val="10"/>
        <rFont val="Noto Sans CJK SC"/>
        <family val="2"/>
      </rPr>
      <t xml:space="preserve">民初</t>
    </r>
    <r>
      <rPr>
        <sz val="10"/>
        <rFont val="Cambria"/>
        <family val="0"/>
        <charset val="1"/>
      </rPr>
      <t xml:space="preserve">10454</t>
    </r>
    <r>
      <rPr>
        <sz val="10"/>
        <rFont val="Noto Sans CJK SC"/>
        <family val="2"/>
      </rPr>
      <t xml:space="preserve">号</t>
    </r>
  </si>
  <si>
    <t xml:space="preserve">贵州省威宁彝族回族苗族自治县人民法院</t>
  </si>
  <si>
    <r>
      <rPr>
        <sz val="10"/>
        <rFont val="Noto Sans CJK SC"/>
        <family val="2"/>
      </rPr>
      <t xml:space="preserve">一审判决被告支付工程款</t>
    </r>
    <r>
      <rPr>
        <sz val="10"/>
        <rFont val="Cambria"/>
        <family val="0"/>
        <charset val="1"/>
      </rPr>
      <t xml:space="preserve">2874.09</t>
    </r>
    <r>
      <rPr>
        <sz val="10"/>
        <rFont val="Noto Sans CJK SC"/>
        <family val="2"/>
      </rPr>
      <t xml:space="preserve">万元及利息、质保金</t>
    </r>
    <r>
      <rPr>
        <sz val="10"/>
        <rFont val="Cambria"/>
        <family val="0"/>
        <charset val="1"/>
      </rPr>
      <t xml:space="preserve">444.46</t>
    </r>
    <r>
      <rPr>
        <sz val="10"/>
        <rFont val="Noto Sans CJK SC"/>
        <family val="2"/>
      </rPr>
      <t xml:space="preserve">万元及利息，七建公司享有优先受偿权。被告已履行完毕。</t>
    </r>
  </si>
  <si>
    <t xml:space="preserve">调取主体沿革及七建公司身份文件、判决与收款；公告权利主体与原告名称关系待核实。</t>
  </si>
  <si>
    <t xml:space="preserve">ANN-20260822-P05</t>
  </si>
  <si>
    <r>
      <rPr>
        <sz val="10"/>
        <rFont val="Noto Sans CJK SC"/>
        <family val="2"/>
      </rPr>
      <t xml:space="preserve">二</t>
    </r>
    <r>
      <rPr>
        <sz val="10"/>
        <rFont val="Cambria"/>
        <family val="0"/>
        <charset val="1"/>
      </rPr>
      <t xml:space="preserve">-05</t>
    </r>
  </si>
  <si>
    <t xml:space="preserve">重庆建工市政交通工程有限责任公司</t>
  </si>
  <si>
    <t xml:space="preserve">重庆迈瑞城市建设投资有限责任公司、重庆丰文实业有限公司</t>
  </si>
  <si>
    <r>
      <rPr>
        <sz val="10"/>
        <rFont val="Cambria"/>
        <family val="0"/>
        <charset val="1"/>
      </rPr>
      <t xml:space="preserve">(2024)</t>
    </r>
    <r>
      <rPr>
        <sz val="10"/>
        <rFont val="Noto Sans CJK SC"/>
        <family val="2"/>
      </rPr>
      <t xml:space="preserve">渝</t>
    </r>
    <r>
      <rPr>
        <sz val="10"/>
        <rFont val="Cambria"/>
        <family val="0"/>
        <charset val="1"/>
      </rPr>
      <t xml:space="preserve">0106</t>
    </r>
    <r>
      <rPr>
        <sz val="10"/>
        <rFont val="Noto Sans CJK SC"/>
        <family val="2"/>
      </rPr>
      <t xml:space="preserve">民初</t>
    </r>
    <r>
      <rPr>
        <sz val="10"/>
        <rFont val="Cambria"/>
        <family val="0"/>
        <charset val="1"/>
      </rPr>
      <t xml:space="preserve">3454</t>
    </r>
    <r>
      <rPr>
        <sz val="10"/>
        <rFont val="Noto Sans CJK SC"/>
        <family val="2"/>
      </rPr>
      <t xml:space="preserve">号</t>
    </r>
  </si>
  <si>
    <t xml:space="preserve">重庆市沙坪坝区人民法院</t>
  </si>
  <si>
    <r>
      <rPr>
        <sz val="10"/>
        <rFont val="Noto Sans CJK SC"/>
        <family val="2"/>
      </rPr>
      <t xml:space="preserve">一审判决被告支付工程款</t>
    </r>
    <r>
      <rPr>
        <sz val="10"/>
        <rFont val="Cambria"/>
        <family val="0"/>
        <charset val="1"/>
      </rPr>
      <t xml:space="preserve">6337.79</t>
    </r>
    <r>
      <rPr>
        <sz val="10"/>
        <rFont val="Noto Sans CJK SC"/>
        <family val="2"/>
      </rPr>
      <t xml:space="preserve">万元及利息。被告已履行完毕。</t>
    </r>
  </si>
  <si>
    <t xml:space="preserve">调取两被告责任主文及分别支付与执行结案凭证。</t>
  </si>
  <si>
    <t xml:space="preserve">ANN-20260822-P06</t>
  </si>
  <si>
    <r>
      <rPr>
        <sz val="10"/>
        <rFont val="Noto Sans CJK SC"/>
        <family val="2"/>
      </rPr>
      <t xml:space="preserve">二</t>
    </r>
    <r>
      <rPr>
        <sz val="10"/>
        <rFont val="Cambria"/>
        <family val="0"/>
        <charset val="1"/>
      </rPr>
      <t xml:space="preserve">-06</t>
    </r>
  </si>
  <si>
    <t xml:space="preserve">重庆市武隆区建设投资（集团）有限公司</t>
  </si>
  <si>
    <r>
      <rPr>
        <sz val="10"/>
        <rFont val="Cambria"/>
        <family val="0"/>
        <charset val="1"/>
      </rPr>
      <t xml:space="preserve">(2025)</t>
    </r>
    <r>
      <rPr>
        <sz val="10"/>
        <rFont val="Noto Sans CJK SC"/>
        <family val="2"/>
      </rPr>
      <t xml:space="preserve">渝</t>
    </r>
    <r>
      <rPr>
        <sz val="10"/>
        <rFont val="Cambria"/>
        <family val="0"/>
        <charset val="1"/>
      </rPr>
      <t xml:space="preserve">0156</t>
    </r>
    <r>
      <rPr>
        <sz val="10"/>
        <rFont val="Noto Sans CJK SC"/>
        <family val="2"/>
      </rPr>
      <t xml:space="preserve">民初</t>
    </r>
    <r>
      <rPr>
        <sz val="10"/>
        <rFont val="Cambria"/>
        <family val="0"/>
        <charset val="1"/>
      </rPr>
      <t xml:space="preserve">696</t>
    </r>
    <r>
      <rPr>
        <sz val="10"/>
        <rFont val="Noto Sans CJK SC"/>
        <family val="2"/>
      </rPr>
      <t xml:space="preserve">号</t>
    </r>
  </si>
  <si>
    <t xml:space="preserve">重庆市武隆区人民法院</t>
  </si>
  <si>
    <r>
      <rPr>
        <sz val="10"/>
        <rFont val="Noto Sans CJK SC"/>
        <family val="2"/>
      </rPr>
      <t xml:space="preserve">一审判决被告支付原告工程款</t>
    </r>
    <r>
      <rPr>
        <sz val="10"/>
        <rFont val="Cambria"/>
        <family val="0"/>
        <charset val="1"/>
      </rPr>
      <t xml:space="preserve">680.58</t>
    </r>
    <r>
      <rPr>
        <sz val="10"/>
        <rFont val="Noto Sans CJK SC"/>
        <family val="2"/>
      </rPr>
      <t xml:space="preserve">万元及利息。被告已履行完毕。</t>
    </r>
  </si>
  <si>
    <r>
      <rPr>
        <sz val="10"/>
        <rFont val="Cambria"/>
        <family val="0"/>
        <charset val="1"/>
      </rPr>
      <t xml:space="preserve">2</t>
    </r>
    <r>
      <rPr>
        <sz val="10"/>
        <rFont val="Noto Sans CJK SC"/>
        <family val="2"/>
      </rPr>
      <t xml:space="preserve">、</t>
    </r>
    <r>
      <rPr>
        <sz val="10"/>
        <rFont val="Cambria"/>
        <family val="0"/>
        <charset val="1"/>
      </rPr>
      <t xml:space="preserve">3</t>
    </r>
  </si>
  <si>
    <t xml:space="preserve">跨页主体、案号和案由已合并；调取完整裁判和付款核销材料。</t>
  </si>
  <si>
    <t xml:space="preserve">ANN-20260822-P07</t>
  </si>
  <si>
    <r>
      <rPr>
        <sz val="10"/>
        <rFont val="Noto Sans CJK SC"/>
        <family val="2"/>
      </rPr>
      <t xml:space="preserve">二</t>
    </r>
    <r>
      <rPr>
        <sz val="10"/>
        <rFont val="Cambria"/>
        <family val="0"/>
        <charset val="1"/>
      </rPr>
      <t xml:space="preserve">-07</t>
    </r>
  </si>
  <si>
    <t xml:space="preserve">重庆腾希置业发展有限公司</t>
  </si>
  <si>
    <r>
      <rPr>
        <sz val="10"/>
        <rFont val="Cambria"/>
        <family val="0"/>
        <charset val="1"/>
      </rPr>
      <t xml:space="preserve">(2024)</t>
    </r>
    <r>
      <rPr>
        <sz val="10"/>
        <rFont val="Noto Sans CJK SC"/>
        <family val="2"/>
      </rPr>
      <t xml:space="preserve">渝</t>
    </r>
    <r>
      <rPr>
        <sz val="10"/>
        <rFont val="Cambria"/>
        <family val="0"/>
        <charset val="1"/>
      </rPr>
      <t xml:space="preserve">0118</t>
    </r>
    <r>
      <rPr>
        <sz val="10"/>
        <rFont val="Noto Sans CJK SC"/>
        <family val="2"/>
      </rPr>
      <t xml:space="preserve">民初</t>
    </r>
    <r>
      <rPr>
        <sz val="10"/>
        <rFont val="Cambria"/>
        <family val="0"/>
        <charset val="1"/>
      </rPr>
      <t xml:space="preserve">1537</t>
    </r>
    <r>
      <rPr>
        <sz val="10"/>
        <rFont val="Noto Sans CJK SC"/>
        <family val="2"/>
      </rPr>
      <t xml:space="preserve">号</t>
    </r>
  </si>
  <si>
    <t xml:space="preserve">重庆市永川区人民法院、重庆市第五中级人民法院</t>
  </si>
  <si>
    <r>
      <rPr>
        <sz val="10"/>
        <rFont val="Noto Sans CJK SC"/>
        <family val="2"/>
      </rPr>
      <t xml:space="preserve">一审判决被告支付原告工程款</t>
    </r>
    <r>
      <rPr>
        <sz val="10"/>
        <rFont val="Cambria"/>
        <family val="0"/>
        <charset val="1"/>
      </rPr>
      <t xml:space="preserve">7433.64</t>
    </r>
    <r>
      <rPr>
        <sz val="10"/>
        <rFont val="Noto Sans CJK SC"/>
        <family val="2"/>
      </rPr>
      <t xml:space="preserve">万元及资金占用损失，原告享有优先受偿权。二审判决被告支付工程款</t>
    </r>
    <r>
      <rPr>
        <sz val="10"/>
        <rFont val="Cambria"/>
        <family val="0"/>
        <charset val="1"/>
      </rPr>
      <t xml:space="preserve">5758.31</t>
    </r>
    <r>
      <rPr>
        <sz val="10"/>
        <rFont val="Noto Sans CJK SC"/>
        <family val="2"/>
      </rPr>
      <t xml:space="preserve">万元及资金占用损失，原告享有优先受偿权。判决已履行完毕。</t>
    </r>
  </si>
  <si>
    <t xml:space="preserve">3</t>
  </si>
  <si>
    <r>
      <rPr>
        <sz val="10"/>
        <rFont val="Noto Sans CJK SC"/>
        <family val="2"/>
      </rPr>
      <t xml:space="preserve">调取两审主文，核对</t>
    </r>
    <r>
      <rPr>
        <sz val="10"/>
        <rFont val="Cambria"/>
        <family val="0"/>
        <charset val="1"/>
      </rPr>
      <t xml:space="preserve">7433.64</t>
    </r>
    <r>
      <rPr>
        <sz val="10"/>
        <rFont val="Noto Sans CJK SC"/>
        <family val="2"/>
      </rPr>
      <t xml:space="preserve">与</t>
    </r>
    <r>
      <rPr>
        <sz val="10"/>
        <rFont val="Cambria"/>
        <family val="0"/>
        <charset val="1"/>
      </rPr>
      <t xml:space="preserve">5758.31</t>
    </r>
    <r>
      <rPr>
        <sz val="10"/>
        <rFont val="Noto Sans CJK SC"/>
        <family val="2"/>
      </rPr>
      <t xml:space="preserve">万元变动、资金占用损失与实收。</t>
    </r>
  </si>
  <si>
    <t xml:space="preserve">ANN-20260822-P08</t>
  </si>
  <si>
    <r>
      <rPr>
        <sz val="10"/>
        <rFont val="Noto Sans CJK SC"/>
        <family val="2"/>
      </rPr>
      <t xml:space="preserve">二</t>
    </r>
    <r>
      <rPr>
        <sz val="10"/>
        <rFont val="Cambria"/>
        <family val="0"/>
        <charset val="1"/>
      </rPr>
      <t xml:space="preserve">-08</t>
    </r>
  </si>
  <si>
    <t xml:space="preserve">四川煤气化有限责任公司</t>
  </si>
  <si>
    <r>
      <rPr>
        <sz val="10"/>
        <rFont val="Cambria"/>
        <family val="0"/>
        <charset val="1"/>
      </rPr>
      <t xml:space="preserve">(2019)</t>
    </r>
    <r>
      <rPr>
        <sz val="10"/>
        <rFont val="Noto Sans CJK SC"/>
        <family val="2"/>
      </rPr>
      <t xml:space="preserve">川</t>
    </r>
    <r>
      <rPr>
        <sz val="10"/>
        <rFont val="Cambria"/>
        <family val="0"/>
        <charset val="1"/>
      </rPr>
      <t xml:space="preserve">05</t>
    </r>
    <r>
      <rPr>
        <sz val="10"/>
        <rFont val="Noto Sans CJK SC"/>
        <family val="2"/>
      </rPr>
      <t xml:space="preserve">民初</t>
    </r>
    <r>
      <rPr>
        <sz val="10"/>
        <rFont val="Cambria"/>
        <family val="0"/>
        <charset val="1"/>
      </rPr>
      <t xml:space="preserve">59</t>
    </r>
    <r>
      <rPr>
        <sz val="10"/>
        <rFont val="Noto Sans CJK SC"/>
        <family val="2"/>
      </rPr>
      <t xml:space="preserve">号</t>
    </r>
  </si>
  <si>
    <t xml:space="preserve">四川省泸州市中级人民法院</t>
  </si>
  <si>
    <r>
      <rPr>
        <sz val="10"/>
        <rFont val="Noto Sans CJK SC"/>
        <family val="2"/>
      </rPr>
      <t xml:space="preserve">一审判决被告支付工程款</t>
    </r>
    <r>
      <rPr>
        <sz val="10"/>
        <rFont val="Cambria"/>
        <family val="0"/>
        <charset val="1"/>
      </rPr>
      <t xml:space="preserve">5878.82</t>
    </r>
    <r>
      <rPr>
        <sz val="10"/>
        <rFont val="Noto Sans CJK SC"/>
        <family val="2"/>
      </rPr>
      <t xml:space="preserve">万元及利息，退还保证金</t>
    </r>
    <r>
      <rPr>
        <sz val="10"/>
        <rFont val="Cambria"/>
        <family val="0"/>
        <charset val="1"/>
      </rPr>
      <t xml:space="preserve">80.00</t>
    </r>
    <r>
      <rPr>
        <sz val="10"/>
        <rFont val="Noto Sans CJK SC"/>
        <family val="2"/>
      </rPr>
      <t xml:space="preserve">万元及利息，原告享有优先受偿权。后被告进入破产程序，原告分配到</t>
    </r>
    <r>
      <rPr>
        <sz val="10"/>
        <rFont val="Cambria"/>
        <family val="0"/>
        <charset val="1"/>
      </rPr>
      <t xml:space="preserve">2</t>
    </r>
    <r>
      <rPr>
        <sz val="10"/>
        <rFont val="Noto Sans CJK SC"/>
        <family val="2"/>
      </rPr>
      <t xml:space="preserve">笔债权共计</t>
    </r>
    <r>
      <rPr>
        <sz val="10"/>
        <rFont val="Cambria"/>
        <family val="0"/>
        <charset val="1"/>
      </rPr>
      <t xml:space="preserve">2856.23</t>
    </r>
    <r>
      <rPr>
        <sz val="10"/>
        <rFont val="Noto Sans CJK SC"/>
        <family val="2"/>
      </rPr>
      <t xml:space="preserve">万元后，被告公司注销，本案已结案。</t>
    </r>
  </si>
  <si>
    <t xml:space="preserve">破产分配后结案</t>
  </si>
  <si>
    <r>
      <rPr>
        <sz val="10"/>
        <rFont val="Noto Sans CJK SC"/>
        <family val="2"/>
      </rPr>
      <t xml:space="preserve">调取破产受理、债权确认、分配方案、两笔</t>
    </r>
    <r>
      <rPr>
        <sz val="10"/>
        <rFont val="Cambria"/>
        <family val="0"/>
        <charset val="1"/>
      </rPr>
      <t xml:space="preserve">2856.23</t>
    </r>
    <r>
      <rPr>
        <sz val="10"/>
        <rFont val="Noto Sans CJK SC"/>
        <family val="2"/>
      </rPr>
      <t xml:space="preserve">万元收款、注销和结案文件；结案不等于全额清偿。</t>
    </r>
  </si>
  <si>
    <t xml:space="preserve">ANN-20260822-P09</t>
  </si>
  <si>
    <r>
      <rPr>
        <sz val="10"/>
        <rFont val="Noto Sans CJK SC"/>
        <family val="2"/>
      </rPr>
      <t xml:space="preserve">二</t>
    </r>
    <r>
      <rPr>
        <sz val="10"/>
        <rFont val="Cambria"/>
        <family val="0"/>
        <charset val="1"/>
      </rPr>
      <t xml:space="preserve">-09</t>
    </r>
  </si>
  <si>
    <t xml:space="preserve">重庆建工工业有限公司</t>
  </si>
  <si>
    <t xml:space="preserve">龚节华</t>
  </si>
  <si>
    <r>
      <rPr>
        <sz val="10"/>
        <rFont val="Cambria"/>
        <family val="0"/>
        <charset val="1"/>
      </rPr>
      <t xml:space="preserve">(2023)</t>
    </r>
    <r>
      <rPr>
        <sz val="10"/>
        <rFont val="Noto Sans CJK SC"/>
        <family val="2"/>
      </rPr>
      <t xml:space="preserve">渝</t>
    </r>
    <r>
      <rPr>
        <sz val="10"/>
        <rFont val="Cambria"/>
        <family val="0"/>
        <charset val="1"/>
      </rPr>
      <t xml:space="preserve">0116</t>
    </r>
    <r>
      <rPr>
        <sz val="10"/>
        <rFont val="Noto Sans CJK SC"/>
        <family val="2"/>
      </rPr>
      <t xml:space="preserve">民初</t>
    </r>
    <r>
      <rPr>
        <sz val="10"/>
        <rFont val="Cambria"/>
        <family val="0"/>
        <charset val="1"/>
      </rPr>
      <t xml:space="preserve">10045</t>
    </r>
    <r>
      <rPr>
        <sz val="10"/>
        <rFont val="Noto Sans CJK SC"/>
        <family val="2"/>
      </rPr>
      <t xml:space="preserve">号</t>
    </r>
  </si>
  <si>
    <t xml:space="preserve">重庆市江津区人民法院、重庆市第五中级人民法院、重庆市高级人民法院</t>
  </si>
  <si>
    <t xml:space="preserve">一审判决驳回原告的诉讼请求。二审维持原判。再审驳回了原告的再审申请。判决已生效，本案已结案。</t>
  </si>
  <si>
    <t xml:space="preserve">再审申请驳回／结案</t>
  </si>
  <si>
    <t xml:space="preserve">调取两审裁判、再审申请与驳回裁定、送达生效及结案文件。</t>
  </si>
  <si>
    <t xml:space="preserve">ANN-20260822-P10</t>
  </si>
  <si>
    <r>
      <rPr>
        <sz val="10"/>
        <rFont val="Noto Sans CJK SC"/>
        <family val="2"/>
      </rPr>
      <t xml:space="preserve">二</t>
    </r>
    <r>
      <rPr>
        <sz val="10"/>
        <rFont val="Cambria"/>
        <family val="0"/>
        <charset val="1"/>
      </rPr>
      <t xml:space="preserve">-10</t>
    </r>
  </si>
  <si>
    <t xml:space="preserve">重庆建工住宅建设有限公司</t>
  </si>
  <si>
    <t xml:space="preserve">遵义市永和城置业有限公司</t>
  </si>
  <si>
    <r>
      <rPr>
        <sz val="10"/>
        <rFont val="Cambria"/>
        <family val="0"/>
        <charset val="1"/>
      </rPr>
      <t xml:space="preserve">(2024)</t>
    </r>
    <r>
      <rPr>
        <sz val="10"/>
        <rFont val="Noto Sans CJK SC"/>
        <family val="2"/>
      </rPr>
      <t xml:space="preserve">黔</t>
    </r>
    <r>
      <rPr>
        <sz val="10"/>
        <rFont val="Cambria"/>
        <family val="0"/>
        <charset val="1"/>
      </rPr>
      <t xml:space="preserve">03</t>
    </r>
    <r>
      <rPr>
        <sz val="10"/>
        <rFont val="Noto Sans CJK SC"/>
        <family val="2"/>
      </rPr>
      <t xml:space="preserve">民初</t>
    </r>
    <r>
      <rPr>
        <sz val="10"/>
        <rFont val="Cambria"/>
        <family val="0"/>
        <charset val="1"/>
      </rPr>
      <t xml:space="preserve">177-1</t>
    </r>
    <r>
      <rPr>
        <sz val="10"/>
        <rFont val="Noto Sans CJK SC"/>
        <family val="2"/>
      </rPr>
      <t xml:space="preserve">号</t>
    </r>
  </si>
  <si>
    <t xml:space="preserve">贵州省遵义市中级人民法院、贵州省高级人民法院</t>
  </si>
  <si>
    <r>
      <rPr>
        <sz val="10"/>
        <rFont val="Noto Sans CJK SC"/>
        <family val="2"/>
      </rPr>
      <t xml:space="preserve">一审裁定驳回起诉。二审撤销一审裁定，指令一审法院重审。在重审过程中，被告进入破产重整程序，原告已确认享有优先债权</t>
    </r>
    <r>
      <rPr>
        <sz val="10"/>
        <rFont val="Cambria"/>
        <family val="0"/>
        <charset val="1"/>
      </rPr>
      <t xml:space="preserve">11686.18</t>
    </r>
    <r>
      <rPr>
        <sz val="10"/>
        <rFont val="Noto Sans CJK SC"/>
        <family val="2"/>
      </rPr>
      <t xml:space="preserve">万元，剩余少量债权尚在确认中，本案大部分债权得到确认。现原告已撤诉。</t>
    </r>
  </si>
  <si>
    <t xml:space="preserve">重整债权确认／撤诉</t>
  </si>
  <si>
    <r>
      <rPr>
        <sz val="10"/>
        <rFont val="Noto Sans CJK SC"/>
        <family val="2"/>
      </rPr>
      <t xml:space="preserve">调取驳回起诉、二审撤销、重审、重整受理、债权确认表与撤诉裁定；核实</t>
    </r>
    <r>
      <rPr>
        <sz val="10"/>
        <rFont val="Cambria"/>
        <family val="0"/>
        <charset val="1"/>
      </rPr>
      <t xml:space="preserve">11686.18</t>
    </r>
    <r>
      <rPr>
        <sz val="10"/>
        <rFont val="Noto Sans CJK SC"/>
        <family val="2"/>
      </rPr>
      <t xml:space="preserve">万元性质和剩余债权，不视作回款。</t>
    </r>
  </si>
  <si>
    <t xml:space="preserve">ANN-20260822-P11</t>
  </si>
  <si>
    <r>
      <rPr>
        <sz val="10"/>
        <rFont val="Noto Sans CJK SC"/>
        <family val="2"/>
      </rPr>
      <t xml:space="preserve">二</t>
    </r>
    <r>
      <rPr>
        <sz val="10"/>
        <rFont val="Cambria"/>
        <family val="0"/>
        <charset val="1"/>
      </rPr>
      <t xml:space="preserve">-11</t>
    </r>
  </si>
  <si>
    <t xml:space="preserve">重庆建工第八建设有限责任公司</t>
  </si>
  <si>
    <t xml:space="preserve">张洋</t>
  </si>
  <si>
    <t xml:space="preserve">合同纠纷</t>
  </si>
  <si>
    <r>
      <rPr>
        <sz val="10"/>
        <rFont val="Cambria"/>
        <family val="0"/>
        <charset val="1"/>
      </rPr>
      <t xml:space="preserve">(2017)</t>
    </r>
    <r>
      <rPr>
        <sz val="10"/>
        <rFont val="Noto Sans CJK SC"/>
        <family val="2"/>
      </rPr>
      <t xml:space="preserve">渝</t>
    </r>
    <r>
      <rPr>
        <sz val="10"/>
        <rFont val="Cambria"/>
        <family val="0"/>
        <charset val="1"/>
      </rPr>
      <t xml:space="preserve">0107</t>
    </r>
    <r>
      <rPr>
        <sz val="10"/>
        <rFont val="Noto Sans CJK SC"/>
        <family val="2"/>
      </rPr>
      <t xml:space="preserve">民初</t>
    </r>
    <r>
      <rPr>
        <sz val="10"/>
        <rFont val="Cambria"/>
        <family val="0"/>
        <charset val="1"/>
      </rPr>
      <t xml:space="preserve">19887</t>
    </r>
    <r>
      <rPr>
        <sz val="10"/>
        <rFont val="Noto Sans CJK SC"/>
        <family val="2"/>
      </rPr>
      <t xml:space="preserve">号</t>
    </r>
  </si>
  <si>
    <t xml:space="preserve">重庆市九龙坡区人民法院</t>
  </si>
  <si>
    <r>
      <rPr>
        <sz val="10"/>
        <rFont val="Noto Sans CJK SC"/>
        <family val="2"/>
      </rPr>
      <t xml:space="preserve">一审判决被告返还原告代付的款项</t>
    </r>
    <r>
      <rPr>
        <sz val="10"/>
        <rFont val="Cambria"/>
        <family val="0"/>
        <charset val="1"/>
      </rPr>
      <t xml:space="preserve">1126.60</t>
    </r>
    <r>
      <rPr>
        <sz val="10"/>
        <rFont val="Noto Sans CJK SC"/>
        <family val="2"/>
      </rPr>
      <t xml:space="preserve">万元及利息。判决已生效，案件正在履行中。</t>
    </r>
  </si>
  <si>
    <t xml:space="preserve">生效／履行中</t>
  </si>
  <si>
    <t xml:space="preserve">调取代付约定、原始支付、判决和履行记录，核实代付对象及金额。</t>
  </si>
  <si>
    <t xml:space="preserve">ANN-20260822-P12</t>
  </si>
  <si>
    <r>
      <rPr>
        <sz val="10"/>
        <rFont val="Noto Sans CJK SC"/>
        <family val="2"/>
      </rPr>
      <t xml:space="preserve">二</t>
    </r>
    <r>
      <rPr>
        <sz val="10"/>
        <rFont val="Cambria"/>
        <family val="0"/>
        <charset val="1"/>
      </rPr>
      <t xml:space="preserve">-12</t>
    </r>
  </si>
  <si>
    <t xml:space="preserve">重庆建工第二建设有限公司</t>
  </si>
  <si>
    <t xml:space="preserve">重庆富州房地产开发有限公司、上海宏铭企业发展有限公司、林金清</t>
  </si>
  <si>
    <t xml:space="preserve">陈才义、重庆建渝工程咨询有限公司</t>
  </si>
  <si>
    <r>
      <rPr>
        <sz val="10"/>
        <rFont val="Cambria"/>
        <family val="0"/>
        <charset val="1"/>
      </rPr>
      <t xml:space="preserve">(2024)</t>
    </r>
    <r>
      <rPr>
        <sz val="10"/>
        <rFont val="Noto Sans CJK SC"/>
        <family val="2"/>
      </rPr>
      <t xml:space="preserve">渝</t>
    </r>
    <r>
      <rPr>
        <sz val="10"/>
        <rFont val="Cambria"/>
        <family val="0"/>
        <charset val="1"/>
      </rPr>
      <t xml:space="preserve">0106</t>
    </r>
    <r>
      <rPr>
        <sz val="10"/>
        <rFont val="Noto Sans CJK SC"/>
        <family val="2"/>
      </rPr>
      <t xml:space="preserve">民初</t>
    </r>
    <r>
      <rPr>
        <sz val="10"/>
        <rFont val="Cambria"/>
        <family val="0"/>
        <charset val="1"/>
      </rPr>
      <t xml:space="preserve">22758</t>
    </r>
    <r>
      <rPr>
        <sz val="10"/>
        <rFont val="Noto Sans CJK SC"/>
        <family val="2"/>
      </rPr>
      <t xml:space="preserve">号</t>
    </r>
  </si>
  <si>
    <t xml:space="preserve">重庆市沙坪坝区人民法院、重庆市第一中级人民法院</t>
  </si>
  <si>
    <r>
      <rPr>
        <sz val="10"/>
        <rFont val="Noto Sans CJK SC"/>
        <family val="2"/>
      </rPr>
      <t xml:space="preserve">一审判决重庆富州房地产开发有限公司支付工程进度款</t>
    </r>
    <r>
      <rPr>
        <sz val="10"/>
        <rFont val="Cambria"/>
        <family val="0"/>
        <charset val="1"/>
      </rPr>
      <t xml:space="preserve">2084.32</t>
    </r>
    <r>
      <rPr>
        <sz val="10"/>
        <rFont val="Noto Sans CJK SC"/>
        <family val="2"/>
      </rPr>
      <t xml:space="preserve">万元及利息暂计</t>
    </r>
    <r>
      <rPr>
        <sz val="10"/>
        <rFont val="Cambria"/>
        <family val="0"/>
        <charset val="1"/>
      </rPr>
      <t xml:space="preserve">76.93</t>
    </r>
    <r>
      <rPr>
        <sz val="10"/>
        <rFont val="Noto Sans CJK SC"/>
        <family val="2"/>
      </rPr>
      <t xml:space="preserve">万元、退还履约保证金</t>
    </r>
    <r>
      <rPr>
        <sz val="10"/>
        <rFont val="Cambria"/>
        <family val="0"/>
        <charset val="1"/>
      </rPr>
      <t xml:space="preserve">218.45</t>
    </r>
    <r>
      <rPr>
        <sz val="10"/>
        <rFont val="Noto Sans CJK SC"/>
        <family val="2"/>
      </rPr>
      <t xml:space="preserve">万元及支付利息损失，原告（反诉被告）享有优先受偿权，驳回被告（反诉原告）的反诉请求。二审调解确认重庆富州房地产开发有限公司支付工程款</t>
    </r>
    <r>
      <rPr>
        <sz val="10"/>
        <rFont val="Cambria"/>
        <family val="0"/>
        <charset val="1"/>
      </rPr>
      <t xml:space="preserve">3997.21</t>
    </r>
    <r>
      <rPr>
        <sz val="10"/>
        <rFont val="Noto Sans CJK SC"/>
        <family val="2"/>
      </rPr>
      <t xml:space="preserve">万元。调解已生效，案件正在履行中。</t>
    </r>
  </si>
  <si>
    <r>
      <rPr>
        <sz val="10"/>
        <rFont val="Cambria"/>
        <family val="0"/>
        <charset val="1"/>
      </rPr>
      <t xml:space="preserve">3</t>
    </r>
    <r>
      <rPr>
        <sz val="10"/>
        <rFont val="Noto Sans CJK SC"/>
        <family val="2"/>
      </rPr>
      <t xml:space="preserve">、</t>
    </r>
    <r>
      <rPr>
        <sz val="10"/>
        <rFont val="Cambria"/>
        <family val="0"/>
        <charset val="1"/>
      </rPr>
      <t xml:space="preserve">4</t>
    </r>
  </si>
  <si>
    <t xml:space="preserve">二审调解生效／履行中</t>
  </si>
  <si>
    <r>
      <rPr>
        <sz val="10"/>
        <rFont val="Noto Sans CJK SC"/>
        <family val="2"/>
      </rPr>
      <t xml:space="preserve">反诉原告：重庆富州房地产开发有限公司、上海宏铭企业发展有限公司、林金清；反诉被告：重庆建工第二建设有限公司；反诉金额</t>
    </r>
    <r>
      <rPr>
        <sz val="10"/>
        <rFont val="Cambria"/>
        <family val="0"/>
        <charset val="1"/>
      </rPr>
      <t xml:space="preserve">5095.08</t>
    </r>
    <r>
      <rPr>
        <sz val="10"/>
        <rFont val="Noto Sans CJK SC"/>
        <family val="2"/>
      </rPr>
      <t xml:space="preserve">万元。调取本反诉诉辩、第三人文件、两审裁判及调解书，核对</t>
    </r>
    <r>
      <rPr>
        <sz val="10"/>
        <rFont val="Cambria"/>
        <family val="0"/>
        <charset val="1"/>
      </rPr>
      <t xml:space="preserve">3894.10</t>
    </r>
    <r>
      <rPr>
        <sz val="10"/>
        <rFont val="Noto Sans CJK SC"/>
        <family val="2"/>
      </rPr>
      <t xml:space="preserve">、</t>
    </r>
    <r>
      <rPr>
        <sz val="10"/>
        <rFont val="Cambria"/>
        <family val="0"/>
        <charset val="1"/>
      </rPr>
      <t xml:space="preserve">5095.08</t>
    </r>
    <r>
      <rPr>
        <sz val="10"/>
        <rFont val="Noto Sans CJK SC"/>
        <family val="2"/>
      </rPr>
      <t xml:space="preserve">和</t>
    </r>
    <r>
      <rPr>
        <sz val="10"/>
        <rFont val="Cambria"/>
        <family val="0"/>
        <charset val="1"/>
      </rPr>
      <t xml:space="preserve">3997.21</t>
    </r>
    <r>
      <rPr>
        <sz val="10"/>
        <rFont val="Noto Sans CJK SC"/>
        <family val="2"/>
      </rPr>
      <t xml:space="preserve">万元口径与重叠，核实调解履行。跨页续行已合并。</t>
    </r>
  </si>
  <si>
    <t xml:space="preserve">ANN-20260822-P13</t>
  </si>
  <si>
    <r>
      <rPr>
        <sz val="10"/>
        <rFont val="Noto Sans CJK SC"/>
        <family val="2"/>
      </rPr>
      <t xml:space="preserve">二</t>
    </r>
    <r>
      <rPr>
        <sz val="10"/>
        <rFont val="Cambria"/>
        <family val="0"/>
        <charset val="1"/>
      </rPr>
      <t xml:space="preserve">-13</t>
    </r>
  </si>
  <si>
    <t xml:space="preserve">重庆两江新区新榈实业有限公司</t>
  </si>
  <si>
    <r>
      <rPr>
        <sz val="10"/>
        <rFont val="Cambria"/>
        <family val="0"/>
        <charset val="1"/>
      </rPr>
      <t xml:space="preserve">(2025)</t>
    </r>
    <r>
      <rPr>
        <sz val="10"/>
        <rFont val="Noto Sans CJK SC"/>
        <family val="2"/>
      </rPr>
      <t xml:space="preserve">渝</t>
    </r>
    <r>
      <rPr>
        <sz val="10"/>
        <rFont val="Cambria"/>
        <family val="0"/>
        <charset val="1"/>
      </rPr>
      <t xml:space="preserve">0112</t>
    </r>
    <r>
      <rPr>
        <sz val="10"/>
        <rFont val="Noto Sans CJK SC"/>
        <family val="2"/>
      </rPr>
      <t xml:space="preserve">民初</t>
    </r>
    <r>
      <rPr>
        <sz val="10"/>
        <rFont val="Cambria"/>
        <family val="0"/>
        <charset val="1"/>
      </rPr>
      <t xml:space="preserve">64333</t>
    </r>
    <r>
      <rPr>
        <sz val="10"/>
        <rFont val="Noto Sans CJK SC"/>
        <family val="2"/>
      </rPr>
      <t xml:space="preserve">号</t>
    </r>
  </si>
  <si>
    <t xml:space="preserve">重庆市两江新区人民法院、重庆市第一中级人民法院</t>
  </si>
  <si>
    <r>
      <rPr>
        <sz val="10"/>
        <rFont val="Noto Sans CJK SC"/>
        <family val="2"/>
      </rPr>
      <t xml:space="preserve">一审判决被告支付工程款</t>
    </r>
    <r>
      <rPr>
        <sz val="10"/>
        <rFont val="Cambria"/>
        <family val="0"/>
        <charset val="1"/>
      </rPr>
      <t xml:space="preserve">1023.28</t>
    </r>
    <r>
      <rPr>
        <sz val="10"/>
        <rFont val="Noto Sans CJK SC"/>
        <family val="2"/>
      </rPr>
      <t xml:space="preserve">万元。二审维持原判。判决已生效，案件正在履行中。</t>
    </r>
  </si>
  <si>
    <t xml:space="preserve">4</t>
  </si>
  <si>
    <r>
      <rPr>
        <sz val="10"/>
        <rFont val="Noto Sans CJK SC"/>
        <family val="2"/>
      </rPr>
      <t xml:space="preserve">调取两审裁判、生效送达及</t>
    </r>
    <r>
      <rPr>
        <sz val="10"/>
        <rFont val="Cambria"/>
        <family val="0"/>
        <charset val="1"/>
      </rPr>
      <t xml:space="preserve">1023.28</t>
    </r>
    <r>
      <rPr>
        <sz val="10"/>
        <rFont val="Noto Sans CJK SC"/>
        <family val="2"/>
      </rPr>
      <t xml:space="preserve">万元后续履行。</t>
    </r>
  </si>
  <si>
    <t xml:space="preserve">ANN-20260822-P14</t>
  </si>
  <si>
    <r>
      <rPr>
        <sz val="10"/>
        <rFont val="Noto Sans CJK SC"/>
        <family val="2"/>
      </rPr>
      <t xml:space="preserve">二</t>
    </r>
    <r>
      <rPr>
        <sz val="10"/>
        <rFont val="Cambria"/>
        <family val="0"/>
        <charset val="1"/>
      </rPr>
      <t xml:space="preserve">-14</t>
    </r>
  </si>
  <si>
    <t xml:space="preserve">郑俊亮</t>
  </si>
  <si>
    <t xml:space="preserve">阿勒泰卓渝建筑工程有限责任公司青海分公司、阿勒泰卓渝建筑工程有限责任公司</t>
  </si>
  <si>
    <r>
      <rPr>
        <sz val="10"/>
        <rFont val="Cambria"/>
        <family val="0"/>
        <charset val="1"/>
      </rPr>
      <t xml:space="preserve">(2025)</t>
    </r>
    <r>
      <rPr>
        <sz val="10"/>
        <rFont val="Noto Sans CJK SC"/>
        <family val="2"/>
      </rPr>
      <t xml:space="preserve">青</t>
    </r>
    <r>
      <rPr>
        <sz val="10"/>
        <rFont val="Cambria"/>
        <family val="0"/>
        <charset val="1"/>
      </rPr>
      <t xml:space="preserve">0104</t>
    </r>
    <r>
      <rPr>
        <sz val="10"/>
        <rFont val="Noto Sans CJK SC"/>
        <family val="2"/>
      </rPr>
      <t xml:space="preserve">民初</t>
    </r>
    <r>
      <rPr>
        <sz val="10"/>
        <rFont val="Cambria"/>
        <family val="0"/>
        <charset val="1"/>
      </rPr>
      <t xml:space="preserve">8548</t>
    </r>
    <r>
      <rPr>
        <sz val="10"/>
        <rFont val="Noto Sans CJK SC"/>
        <family val="2"/>
      </rPr>
      <t xml:space="preserve">号</t>
    </r>
  </si>
  <si>
    <t xml:space="preserve">青海省西宁市城西区人民法院</t>
  </si>
  <si>
    <r>
      <rPr>
        <sz val="10"/>
        <rFont val="Noto Sans CJK SC"/>
        <family val="2"/>
      </rPr>
      <t xml:space="preserve">一审判决被告支付工程款</t>
    </r>
    <r>
      <rPr>
        <sz val="10"/>
        <rFont val="Cambria"/>
        <family val="0"/>
        <charset val="1"/>
      </rPr>
      <t xml:space="preserve">6107.02</t>
    </r>
    <r>
      <rPr>
        <sz val="10"/>
        <rFont val="Noto Sans CJK SC"/>
        <family val="2"/>
      </rPr>
      <t xml:space="preserve">万元。被告已上诉，案件正在二审审理中。</t>
    </r>
  </si>
  <si>
    <t xml:space="preserve">二审审理中</t>
  </si>
  <si>
    <t xml:space="preserve">外部个人为原告，非重庆建工本体为被告；调取分公司主体文件、诉辩、一审判决与被告上诉和二审受理，核实两被告责任分配。</t>
  </si>
  <si>
    <t xml:space="preserve">ANN-20260822-P15</t>
  </si>
  <si>
    <r>
      <rPr>
        <sz val="10"/>
        <rFont val="Noto Sans CJK SC"/>
        <family val="2"/>
      </rPr>
      <t xml:space="preserve">二</t>
    </r>
    <r>
      <rPr>
        <sz val="10"/>
        <rFont val="Cambria"/>
        <family val="0"/>
        <charset val="1"/>
      </rPr>
      <t xml:space="preserve">-15</t>
    </r>
  </si>
  <si>
    <t xml:space="preserve">重庆三峡继成置业有限公司</t>
  </si>
  <si>
    <r>
      <rPr>
        <sz val="10"/>
        <rFont val="Cambria"/>
        <family val="0"/>
        <charset val="1"/>
      </rPr>
      <t xml:space="preserve">(2025)</t>
    </r>
    <r>
      <rPr>
        <sz val="10"/>
        <rFont val="Noto Sans CJK SC"/>
        <family val="2"/>
      </rPr>
      <t xml:space="preserve">渝</t>
    </r>
    <r>
      <rPr>
        <sz val="10"/>
        <rFont val="Cambria"/>
        <family val="0"/>
        <charset val="1"/>
      </rPr>
      <t xml:space="preserve">0106</t>
    </r>
    <r>
      <rPr>
        <sz val="10"/>
        <rFont val="Noto Sans CJK SC"/>
        <family val="2"/>
      </rPr>
      <t xml:space="preserve">民初</t>
    </r>
    <r>
      <rPr>
        <sz val="10"/>
        <rFont val="Cambria"/>
        <family val="0"/>
        <charset val="1"/>
      </rPr>
      <t xml:space="preserve">11844</t>
    </r>
    <r>
      <rPr>
        <sz val="10"/>
        <rFont val="Noto Sans CJK SC"/>
        <family val="2"/>
      </rPr>
      <t xml:space="preserve">号</t>
    </r>
  </si>
  <si>
    <r>
      <rPr>
        <sz val="10"/>
        <rFont val="Noto Sans CJK SC"/>
        <family val="2"/>
      </rPr>
      <t xml:space="preserve">一审判决被告支付工程款</t>
    </r>
    <r>
      <rPr>
        <sz val="10"/>
        <rFont val="Cambria"/>
        <family val="0"/>
        <charset val="1"/>
      </rPr>
      <t xml:space="preserve">10608.06</t>
    </r>
    <r>
      <rPr>
        <sz val="10"/>
        <rFont val="Noto Sans CJK SC"/>
        <family val="2"/>
      </rPr>
      <t xml:space="preserve">万元及利息，退还履约保证金</t>
    </r>
    <r>
      <rPr>
        <sz val="10"/>
        <rFont val="Cambria"/>
        <family val="0"/>
        <charset val="1"/>
      </rPr>
      <t xml:space="preserve">1000.00</t>
    </r>
    <r>
      <rPr>
        <sz val="10"/>
        <rFont val="Noto Sans CJK SC"/>
        <family val="2"/>
      </rPr>
      <t xml:space="preserve">万元及支付利息损失，原告享有优先受偿权。判决已生效，案件正在履行中。</t>
    </r>
  </si>
  <si>
    <r>
      <rPr>
        <sz val="10"/>
        <rFont val="Noto Sans CJK SC"/>
        <family val="2"/>
      </rPr>
      <t xml:space="preserve">调取判决、生效证明及工程款、</t>
    </r>
    <r>
      <rPr>
        <sz val="10"/>
        <rFont val="Cambria"/>
        <family val="0"/>
        <charset val="1"/>
      </rPr>
      <t xml:space="preserve">1000.00</t>
    </r>
    <r>
      <rPr>
        <sz val="10"/>
        <rFont val="Noto Sans CJK SC"/>
        <family val="2"/>
      </rPr>
      <t xml:space="preserve">万元保证金和利息分别履行明细。</t>
    </r>
  </si>
  <si>
    <t xml:space="preserve">ANN-20260822-P16</t>
  </si>
  <si>
    <r>
      <rPr>
        <sz val="10"/>
        <rFont val="Noto Sans CJK SC"/>
        <family val="2"/>
      </rPr>
      <t xml:space="preserve">二</t>
    </r>
    <r>
      <rPr>
        <sz val="10"/>
        <rFont val="Cambria"/>
        <family val="0"/>
        <charset val="1"/>
      </rPr>
      <t xml:space="preserve">-16</t>
    </r>
  </si>
  <si>
    <r>
      <rPr>
        <sz val="10"/>
        <rFont val="Noto Sans CJK SC"/>
        <family val="2"/>
      </rPr>
      <t xml:space="preserve">兰州南河道生态文化旅游开发有限公司、兰州市城关区城市发展投资</t>
    </r>
    <r>
      <rPr>
        <sz val="10"/>
        <rFont val="Cambria"/>
        <family val="0"/>
        <charset val="1"/>
      </rPr>
      <t xml:space="preserve">(</t>
    </r>
    <r>
      <rPr>
        <sz val="10"/>
        <rFont val="Noto Sans CJK SC"/>
        <family val="2"/>
      </rPr>
      <t xml:space="preserve">集团</t>
    </r>
    <r>
      <rPr>
        <sz val="10"/>
        <rFont val="Cambria"/>
        <family val="0"/>
        <charset val="1"/>
      </rPr>
      <t xml:space="preserve">)</t>
    </r>
    <r>
      <rPr>
        <sz val="10"/>
        <rFont val="Noto Sans CJK SC"/>
        <family val="2"/>
      </rPr>
      <t xml:space="preserve">有限公司</t>
    </r>
  </si>
  <si>
    <t xml:space="preserve">保证金纠纷</t>
  </si>
  <si>
    <r>
      <rPr>
        <sz val="10"/>
        <rFont val="Cambria"/>
        <family val="0"/>
        <charset val="1"/>
      </rPr>
      <t xml:space="preserve">(2025)</t>
    </r>
    <r>
      <rPr>
        <sz val="10"/>
        <rFont val="Noto Sans CJK SC"/>
        <family val="2"/>
      </rPr>
      <t xml:space="preserve">渝</t>
    </r>
    <r>
      <rPr>
        <sz val="10"/>
        <rFont val="Cambria"/>
        <family val="0"/>
        <charset val="1"/>
      </rPr>
      <t xml:space="preserve">0106</t>
    </r>
    <r>
      <rPr>
        <sz val="10"/>
        <rFont val="Noto Sans CJK SC"/>
        <family val="2"/>
      </rPr>
      <t xml:space="preserve">民初</t>
    </r>
    <r>
      <rPr>
        <sz val="10"/>
        <rFont val="Cambria"/>
        <family val="0"/>
        <charset val="1"/>
      </rPr>
      <t xml:space="preserve">54423</t>
    </r>
    <r>
      <rPr>
        <sz val="10"/>
        <rFont val="Noto Sans CJK SC"/>
        <family val="2"/>
      </rPr>
      <t xml:space="preserve">号、</t>
    </r>
    <r>
      <rPr>
        <sz val="10"/>
        <rFont val="Cambria"/>
        <family val="0"/>
        <charset val="1"/>
      </rPr>
      <t xml:space="preserve">(2026)</t>
    </r>
    <r>
      <rPr>
        <sz val="10"/>
        <rFont val="Noto Sans CJK SC"/>
        <family val="2"/>
      </rPr>
      <t xml:space="preserve">甘</t>
    </r>
    <r>
      <rPr>
        <sz val="10"/>
        <rFont val="Cambria"/>
        <family val="0"/>
        <charset val="1"/>
      </rPr>
      <t xml:space="preserve">01</t>
    </r>
    <r>
      <rPr>
        <sz val="10"/>
        <rFont val="Noto Sans CJK SC"/>
        <family val="2"/>
      </rPr>
      <t xml:space="preserve">民初</t>
    </r>
    <r>
      <rPr>
        <sz val="10"/>
        <rFont val="Cambria"/>
        <family val="0"/>
        <charset val="1"/>
      </rPr>
      <t xml:space="preserve">44</t>
    </r>
    <r>
      <rPr>
        <sz val="10"/>
        <rFont val="Noto Sans CJK SC"/>
        <family val="2"/>
      </rPr>
      <t xml:space="preserve">号</t>
    </r>
  </si>
  <si>
    <t xml:space="preserve">重庆市沙坪坝区人民法、甘肃省兰州市中级人民法院</t>
  </si>
  <si>
    <t xml:space="preserve">原告变更诉求。案件已从重庆市沙坪坝区人民法院移送至兰州市中级人民法院审理。</t>
  </si>
  <si>
    <t xml:space="preserve">变更诉求／移送审理</t>
  </si>
  <si>
    <t xml:space="preserve">法院栏原文“人民法”照录，进展栏为“人民法院”。调取原诉、变更诉请、移送裁定及两地受理文件，核实两案号衔接、金额变化及保证金性质。</t>
  </si>
  <si>
    <t xml:space="preserve">ANN-20260822-P17</t>
  </si>
  <si>
    <r>
      <rPr>
        <sz val="10"/>
        <rFont val="Noto Sans CJK SC"/>
        <family val="2"/>
      </rPr>
      <t xml:space="preserve">二</t>
    </r>
    <r>
      <rPr>
        <sz val="10"/>
        <rFont val="Cambria"/>
        <family val="0"/>
        <charset val="1"/>
      </rPr>
      <t xml:space="preserve">-17</t>
    </r>
  </si>
  <si>
    <t xml:space="preserve">重庆建工第十一建筑工程有限责任公司</t>
  </si>
  <si>
    <t xml:space="preserve">重庆鹏博实业有限公司、重庆瑞安物业发展有限公司、重庆市疾病预防控制中心</t>
  </si>
  <si>
    <r>
      <rPr>
        <sz val="10"/>
        <rFont val="Cambria"/>
        <family val="0"/>
        <charset val="1"/>
      </rPr>
      <t xml:space="preserve">(2025)</t>
    </r>
    <r>
      <rPr>
        <sz val="10"/>
        <rFont val="Noto Sans CJK SC"/>
        <family val="2"/>
      </rPr>
      <t xml:space="preserve">渝</t>
    </r>
    <r>
      <rPr>
        <sz val="10"/>
        <rFont val="Cambria"/>
        <family val="0"/>
        <charset val="1"/>
      </rPr>
      <t xml:space="preserve">0105</t>
    </r>
    <r>
      <rPr>
        <sz val="10"/>
        <rFont val="Noto Sans CJK SC"/>
        <family val="2"/>
      </rPr>
      <t xml:space="preserve">民初</t>
    </r>
    <r>
      <rPr>
        <sz val="10"/>
        <rFont val="Cambria"/>
        <family val="0"/>
        <charset val="1"/>
      </rPr>
      <t xml:space="preserve">33130</t>
    </r>
    <r>
      <rPr>
        <sz val="10"/>
        <rFont val="Noto Sans CJK SC"/>
        <family val="2"/>
      </rPr>
      <t xml:space="preserve">号</t>
    </r>
  </si>
  <si>
    <t xml:space="preserve">重庆市江北区人民法院、重庆市两江新区人民法院</t>
  </si>
  <si>
    <r>
      <rPr>
        <sz val="10"/>
        <rFont val="Noto Sans CJK SC"/>
        <family val="2"/>
      </rPr>
      <t xml:space="preserve">一审判决解除合同，重庆鹏博实业有限公司、重庆瑞安物业发展有限公司支付工程款</t>
    </r>
    <r>
      <rPr>
        <sz val="10"/>
        <rFont val="Cambria"/>
        <family val="0"/>
        <charset val="1"/>
      </rPr>
      <t xml:space="preserve">17598.97</t>
    </r>
    <r>
      <rPr>
        <sz val="10"/>
        <rFont val="Noto Sans CJK SC"/>
        <family val="2"/>
      </rPr>
      <t xml:space="preserve">万元及利息，原告享有优先受偿权。判决已生效，案件正在履行中。</t>
    </r>
  </si>
  <si>
    <t xml:space="preserve">调取解除通知、完整主文及两法院程序衔接、履行资料；第三被告疾控中心责任在摘要未明确。</t>
  </si>
  <si>
    <t xml:space="preserve">ANN-20260822-P18</t>
  </si>
  <si>
    <r>
      <rPr>
        <sz val="10"/>
        <rFont val="Noto Sans CJK SC"/>
        <family val="2"/>
      </rPr>
      <t xml:space="preserve">二</t>
    </r>
    <r>
      <rPr>
        <sz val="10"/>
        <rFont val="Cambria"/>
        <family val="0"/>
        <charset val="1"/>
      </rPr>
      <t xml:space="preserve">-18</t>
    </r>
  </si>
  <si>
    <t xml:space="preserve">西藏渝昌建设有限责任公司（原名：重庆建工第四建设有限责任公司）</t>
  </si>
  <si>
    <t xml:space="preserve">重庆交运物流有限公司</t>
  </si>
  <si>
    <r>
      <rPr>
        <sz val="10"/>
        <rFont val="Cambria"/>
        <family val="0"/>
        <charset val="1"/>
      </rPr>
      <t xml:space="preserve">(2024)</t>
    </r>
    <r>
      <rPr>
        <sz val="10"/>
        <rFont val="Noto Sans CJK SC"/>
        <family val="2"/>
      </rPr>
      <t xml:space="preserve">渝</t>
    </r>
    <r>
      <rPr>
        <sz val="10"/>
        <rFont val="Cambria"/>
        <family val="0"/>
        <charset val="1"/>
      </rPr>
      <t xml:space="preserve">0106</t>
    </r>
    <r>
      <rPr>
        <sz val="10"/>
        <rFont val="Noto Sans CJK SC"/>
        <family val="2"/>
      </rPr>
      <t xml:space="preserve">民初</t>
    </r>
    <r>
      <rPr>
        <sz val="10"/>
        <rFont val="Cambria"/>
        <family val="0"/>
        <charset val="1"/>
      </rPr>
      <t xml:space="preserve">27463</t>
    </r>
    <r>
      <rPr>
        <sz val="10"/>
        <rFont val="Noto Sans CJK SC"/>
        <family val="2"/>
      </rPr>
      <t xml:space="preserve">号</t>
    </r>
  </si>
  <si>
    <r>
      <rPr>
        <sz val="10"/>
        <rFont val="Noto Sans CJK SC"/>
        <family val="2"/>
      </rPr>
      <t xml:space="preserve">原告变更诉讼请求。一审判决被告支付工程款</t>
    </r>
    <r>
      <rPr>
        <sz val="10"/>
        <rFont val="Cambria"/>
        <family val="0"/>
        <charset val="1"/>
      </rPr>
      <t xml:space="preserve">1144.19</t>
    </r>
    <r>
      <rPr>
        <sz val="10"/>
        <rFont val="Noto Sans CJK SC"/>
        <family val="2"/>
      </rPr>
      <t xml:space="preserve">万元及利息，原告享有优先受偿权。双方均上诉，案件正在二审审理中。</t>
    </r>
  </si>
  <si>
    <t xml:space="preserve">变更诉请／双方上诉二审</t>
  </si>
  <si>
    <r>
      <rPr>
        <sz val="10"/>
        <rFont val="Noto Sans CJK SC"/>
        <family val="2"/>
      </rPr>
      <t xml:space="preserve">调取更名证明、变更诉请、一审判决、双方上诉和二审受理，核对</t>
    </r>
    <r>
      <rPr>
        <sz val="10"/>
        <rFont val="Cambria"/>
        <family val="0"/>
        <charset val="1"/>
      </rPr>
      <t xml:space="preserve">1144.19</t>
    </r>
    <r>
      <rPr>
        <sz val="10"/>
        <rFont val="Noto Sans CJK SC"/>
        <family val="2"/>
      </rPr>
      <t xml:space="preserve">万元与涉案额区别。</t>
    </r>
  </si>
  <si>
    <t xml:space="preserve">ANN-20260822-P19</t>
  </si>
  <si>
    <r>
      <rPr>
        <sz val="10"/>
        <rFont val="Noto Sans CJK SC"/>
        <family val="2"/>
      </rPr>
      <t xml:space="preserve">二</t>
    </r>
    <r>
      <rPr>
        <sz val="10"/>
        <rFont val="Cambria"/>
        <family val="0"/>
        <charset val="1"/>
      </rPr>
      <t xml:space="preserve">-19</t>
    </r>
  </si>
  <si>
    <t xml:space="preserve">旺苍县中瑞诚房地产开发有限责任公司、宋增军、杨洋、税国全、王宇、吴晓山、邓坤、税正玉</t>
  </si>
  <si>
    <r>
      <rPr>
        <sz val="10"/>
        <rFont val="Cambria"/>
        <family val="0"/>
        <charset val="1"/>
      </rPr>
      <t xml:space="preserve">(2025)</t>
    </r>
    <r>
      <rPr>
        <sz val="10"/>
        <rFont val="Noto Sans CJK SC"/>
        <family val="2"/>
      </rPr>
      <t xml:space="preserve">川</t>
    </r>
    <r>
      <rPr>
        <sz val="10"/>
        <rFont val="Cambria"/>
        <family val="0"/>
        <charset val="1"/>
      </rPr>
      <t xml:space="preserve">0821</t>
    </r>
    <r>
      <rPr>
        <sz val="10"/>
        <rFont val="Noto Sans CJK SC"/>
        <family val="2"/>
      </rPr>
      <t xml:space="preserve">民初</t>
    </r>
    <r>
      <rPr>
        <sz val="10"/>
        <rFont val="Cambria"/>
        <family val="0"/>
        <charset val="1"/>
      </rPr>
      <t xml:space="preserve">2786</t>
    </r>
    <r>
      <rPr>
        <sz val="10"/>
        <rFont val="Noto Sans CJK SC"/>
        <family val="2"/>
      </rPr>
      <t xml:space="preserve">号</t>
    </r>
  </si>
  <si>
    <t xml:space="preserve">四川省旺苍县法院</t>
  </si>
  <si>
    <r>
      <rPr>
        <sz val="10"/>
        <rFont val="Noto Sans CJK SC"/>
        <family val="2"/>
      </rPr>
      <t xml:space="preserve">一审判决被告旺苍县中瑞诚房地产开发有限责任公司支付工程进度款</t>
    </r>
    <r>
      <rPr>
        <sz val="10"/>
        <rFont val="Cambria"/>
        <family val="0"/>
        <charset val="1"/>
      </rPr>
      <t xml:space="preserve">351.91</t>
    </r>
    <r>
      <rPr>
        <sz val="10"/>
        <rFont val="Noto Sans CJK SC"/>
        <family val="2"/>
      </rPr>
      <t xml:space="preserve">万元及资金占用费暂计</t>
    </r>
    <r>
      <rPr>
        <sz val="10"/>
        <rFont val="Cambria"/>
        <family val="0"/>
        <charset val="1"/>
      </rPr>
      <t xml:space="preserve">361.65</t>
    </r>
    <r>
      <rPr>
        <sz val="10"/>
        <rFont val="Noto Sans CJK SC"/>
        <family val="2"/>
      </rPr>
      <t xml:space="preserve">万元，退还履约保证金的资金占用费暂计</t>
    </r>
    <r>
      <rPr>
        <sz val="10"/>
        <rFont val="Cambria"/>
        <family val="0"/>
        <charset val="1"/>
      </rPr>
      <t xml:space="preserve">100.13</t>
    </r>
    <r>
      <rPr>
        <sz val="10"/>
        <rFont val="Noto Sans CJK SC"/>
        <family val="2"/>
      </rPr>
      <t xml:space="preserve">万元，宋增军、杨洋、税国全、王宇、吴晓山、邓坤、税正玉承担连带责任，原告享有优先受偿权。原告已上诉，案件正在二审审理中。</t>
    </r>
  </si>
  <si>
    <r>
      <rPr>
        <sz val="10"/>
        <rFont val="Cambria"/>
        <family val="0"/>
        <charset val="1"/>
      </rPr>
      <t xml:space="preserve">4</t>
    </r>
    <r>
      <rPr>
        <sz val="10"/>
        <rFont val="Noto Sans CJK SC"/>
        <family val="2"/>
      </rPr>
      <t xml:space="preserve">、</t>
    </r>
    <r>
      <rPr>
        <sz val="10"/>
        <rFont val="Cambria"/>
        <family val="0"/>
        <charset val="1"/>
      </rPr>
      <t xml:space="preserve">5</t>
    </r>
  </si>
  <si>
    <t xml:space="preserve">原告上诉／二审审理中</t>
  </si>
  <si>
    <r>
      <rPr>
        <sz val="10"/>
        <rFont val="Noto Sans CJK SC"/>
        <family val="2"/>
      </rPr>
      <t xml:space="preserve">跨页进展已合并。调取完整判决、原告上诉及二审受理，核实自然人连带责任、暂计截止日；</t>
    </r>
    <r>
      <rPr>
        <sz val="10"/>
        <rFont val="Cambria"/>
        <family val="0"/>
        <charset val="1"/>
      </rPr>
      <t xml:space="preserve">100.13</t>
    </r>
    <r>
      <rPr>
        <sz val="10"/>
        <rFont val="Noto Sans CJK SC"/>
        <family val="2"/>
      </rPr>
      <t xml:space="preserve">万元是保证金资金占用费，不是保证金本金。</t>
    </r>
  </si>
  <si>
    <t xml:space="preserve">项目</t>
  </si>
  <si>
    <t xml:space="preserve">金额</t>
  </si>
  <si>
    <t xml:space="preserve">来源页</t>
  </si>
  <si>
    <t xml:space="preserve">口径／事实角色</t>
  </si>
  <si>
    <r>
      <rPr>
        <sz val="10"/>
        <rFont val="Noto Sans CJK SC"/>
        <family val="2"/>
      </rPr>
      <t xml:space="preserve">新案</t>
    </r>
    <r>
      <rPr>
        <sz val="10"/>
        <rFont val="Cambria"/>
        <family val="0"/>
        <charset val="1"/>
      </rPr>
      <t xml:space="preserve">4</t>
    </r>
    <r>
      <rPr>
        <sz val="10"/>
        <rFont val="Noto Sans CJK SC"/>
        <family val="2"/>
      </rPr>
      <t xml:space="preserve">起合计</t>
    </r>
  </si>
  <si>
    <r>
      <rPr>
        <sz val="10"/>
        <rFont val="Cambria"/>
        <family val="0"/>
        <charset val="1"/>
      </rPr>
      <t xml:space="preserve">1</t>
    </r>
    <r>
      <rPr>
        <sz val="10"/>
        <rFont val="Noto Sans CJK SC"/>
        <family val="2"/>
      </rPr>
      <t xml:space="preserve">、</t>
    </r>
    <r>
      <rPr>
        <sz val="10"/>
        <rFont val="Cambria"/>
        <family val="0"/>
        <charset val="1"/>
      </rPr>
      <t xml:space="preserve">2</t>
    </r>
  </si>
  <si>
    <t xml:space="preserve">万元；涉案额非判决／履行／尚欠额</t>
  </si>
  <si>
    <r>
      <rPr>
        <sz val="10"/>
        <rFont val="Noto Sans CJK SC"/>
        <family val="2"/>
      </rPr>
      <t xml:space="preserve">前期</t>
    </r>
    <r>
      <rPr>
        <sz val="10"/>
        <rFont val="Cambria"/>
        <family val="0"/>
        <charset val="1"/>
      </rPr>
      <t xml:space="preserve">19</t>
    </r>
    <r>
      <rPr>
        <sz val="10"/>
        <rFont val="Noto Sans CJK SC"/>
        <family val="2"/>
      </rPr>
      <t xml:space="preserve">案本诉栏合计</t>
    </r>
  </si>
  <si>
    <t xml:space="preserve">2—5</t>
  </si>
  <si>
    <t xml:space="preserve">万元；每个序号本诉金额一次</t>
  </si>
  <si>
    <t xml:space="preserve">前期反诉栏合计</t>
  </si>
  <si>
    <r>
      <rPr>
        <sz val="10"/>
        <rFont val="Cambria"/>
        <family val="0"/>
        <charset val="1"/>
      </rPr>
      <t xml:space="preserve">3</t>
    </r>
    <r>
      <rPr>
        <sz val="10"/>
        <rFont val="Noto Sans CJK SC"/>
        <family val="2"/>
      </rPr>
      <t xml:space="preserve">（</t>
    </r>
    <r>
      <rPr>
        <sz val="10"/>
        <rFont val="Cambria"/>
        <family val="0"/>
        <charset val="1"/>
      </rPr>
      <t xml:space="preserve">P12</t>
    </r>
    <r>
      <rPr>
        <sz val="10"/>
        <rFont val="Noto Sans CJK SC"/>
        <family val="2"/>
      </rPr>
      <t xml:space="preserve">）</t>
    </r>
  </si>
  <si>
    <t xml:space="preserve">万元；另列反诉，不增加案件数</t>
  </si>
  <si>
    <t xml:space="preserve">前期全部列示金额合计</t>
  </si>
  <si>
    <r>
      <rPr>
        <sz val="10"/>
        <rFont val="Noto Sans CJK SC"/>
        <family val="2"/>
      </rPr>
      <t xml:space="preserve">万元；</t>
    </r>
    <r>
      <rPr>
        <sz val="10"/>
        <rFont val="Cambria"/>
        <family val="0"/>
        <charset val="1"/>
      </rPr>
      <t xml:space="preserve">19</t>
    </r>
    <r>
      <rPr>
        <sz val="10"/>
        <rFont val="Noto Sans CJK SC"/>
        <family val="2"/>
      </rPr>
      <t xml:space="preserve">序号</t>
    </r>
    <r>
      <rPr>
        <sz val="10"/>
        <rFont val="Cambria"/>
        <family val="0"/>
        <charset val="1"/>
      </rPr>
      <t xml:space="preserve">20</t>
    </r>
    <r>
      <rPr>
        <sz val="10"/>
        <rFont val="Noto Sans CJK SC"/>
        <family val="2"/>
      </rPr>
      <t xml:space="preserve">项金额，可能重叠，非净风险敞口</t>
    </r>
  </si>
  <si>
    <t xml:space="preserve">公告新案概数折算</t>
  </si>
  <si>
    <r>
      <rPr>
        <sz val="10"/>
        <rFont val="Noto Sans CJK SC"/>
        <family val="2"/>
      </rPr>
      <t xml:space="preserve">原文</t>
    </r>
    <r>
      <rPr>
        <sz val="10"/>
        <rFont val="Cambria"/>
        <family val="0"/>
        <charset val="1"/>
      </rPr>
      <t xml:space="preserve">6.78</t>
    </r>
    <r>
      <rPr>
        <sz val="10"/>
        <rFont val="Noto Sans CJK SC"/>
        <family val="2"/>
      </rPr>
      <t xml:space="preserve">亿元，折合万元用于勾稽</t>
    </r>
  </si>
  <si>
    <t xml:space="preserve">明细减概数差额</t>
  </si>
  <si>
    <t xml:space="preserve">万元；舍入差额</t>
  </si>
  <si>
    <t xml:space="preserve">新案亿元舍入核对</t>
  </si>
  <si>
    <r>
      <rPr>
        <sz val="10"/>
        <rFont val="Noto Sans CJK SC"/>
        <family val="2"/>
      </rPr>
      <t xml:space="preserve">本行单位亿元；应为</t>
    </r>
    <r>
      <rPr>
        <sz val="10"/>
        <rFont val="Cambria"/>
        <family val="0"/>
        <charset val="1"/>
      </rPr>
      <t xml:space="preserve">6.78</t>
    </r>
  </si>
  <si>
    <r>
      <rPr>
        <sz val="10"/>
        <rFont val="Noto Sans CJK SC"/>
        <family val="2"/>
      </rPr>
      <t xml:space="preserve">已结案件</t>
    </r>
    <r>
      <rPr>
        <sz val="10"/>
        <rFont val="Cambria"/>
        <family val="0"/>
        <charset val="1"/>
      </rPr>
      <t xml:space="preserve">2026</t>
    </r>
    <r>
      <rPr>
        <sz val="10"/>
        <rFont val="Noto Sans CJK SC"/>
        <family val="2"/>
      </rPr>
      <t xml:space="preserve">年度利润影响</t>
    </r>
  </si>
  <si>
    <r>
      <rPr>
        <sz val="10"/>
        <rFont val="Cambria"/>
        <family val="0"/>
        <charset val="1"/>
      </rPr>
      <t xml:space="preserve">5</t>
    </r>
    <r>
      <rPr>
        <sz val="10"/>
        <rFont val="Noto Sans CJK SC"/>
        <family val="2"/>
      </rPr>
      <t xml:space="preserve">第三部分</t>
    </r>
  </si>
  <si>
    <t xml:space="preserve">万元；公告称增加，未经审计确认，未逐案分配</t>
  </si>
  <si>
    <t xml:space="preserve">利润影响引用</t>
  </si>
  <si>
    <t xml:space="preserve">万元；引用披露值，不能由涉案金额推算</t>
  </si>
  <si>
    <t xml:space="preserve">其他未结案件利润影响</t>
  </si>
  <si>
    <t xml:space="preserve">无法判断；空白不是零</t>
  </si>
  <si>
    <t xml:space="preserve">文本顺序</t>
  </si>
  <si>
    <t xml:space="preserve">公告转述事件</t>
  </si>
  <si>
    <t xml:space="preserve">目前一审审理中</t>
  </si>
  <si>
    <t xml:space="preserve">公告转述，按文本顺序而非已核验时间排序</t>
  </si>
  <si>
    <r>
      <rPr>
        <sz val="10"/>
        <rFont val="Noto Sans CJK SC"/>
        <family val="2"/>
      </rPr>
      <t xml:space="preserve">一审判决被告支付工程款</t>
    </r>
    <r>
      <rPr>
        <sz val="10"/>
        <rFont val="Cambria"/>
        <family val="0"/>
        <charset val="1"/>
      </rPr>
      <t xml:space="preserve">680.64</t>
    </r>
    <r>
      <rPr>
        <sz val="10"/>
        <rFont val="Noto Sans CJK SC"/>
        <family val="2"/>
      </rPr>
      <t xml:space="preserve">万元，保修金</t>
    </r>
    <r>
      <rPr>
        <sz val="10"/>
        <rFont val="Cambria"/>
        <family val="0"/>
        <charset val="1"/>
      </rPr>
      <t xml:space="preserve">315.56</t>
    </r>
    <r>
      <rPr>
        <sz val="10"/>
        <rFont val="Noto Sans CJK SC"/>
        <family val="2"/>
      </rPr>
      <t xml:space="preserve">万元及利息</t>
    </r>
  </si>
  <si>
    <t xml:space="preserve">二审驳回上诉，维持原判</t>
  </si>
  <si>
    <t xml:space="preserve">被告已履行完毕</t>
  </si>
  <si>
    <r>
      <rPr>
        <sz val="10"/>
        <rFont val="Noto Sans CJK SC"/>
        <family val="2"/>
      </rPr>
      <t xml:space="preserve">一审判决中京博泰毕节地产置业有限公司支付工程款</t>
    </r>
    <r>
      <rPr>
        <sz val="10"/>
        <rFont val="Cambria"/>
        <family val="0"/>
        <charset val="1"/>
      </rPr>
      <t xml:space="preserve">2179.04</t>
    </r>
    <r>
      <rPr>
        <sz val="10"/>
        <rFont val="Noto Sans CJK SC"/>
        <family val="2"/>
      </rPr>
      <t xml:space="preserve">万元（含</t>
    </r>
    <r>
      <rPr>
        <sz val="10"/>
        <rFont val="Cambria"/>
        <family val="0"/>
        <charset val="1"/>
      </rPr>
      <t xml:space="preserve">500.00</t>
    </r>
    <r>
      <rPr>
        <sz val="10"/>
        <rFont val="Noto Sans CJK SC"/>
        <family val="2"/>
      </rPr>
      <t xml:space="preserve">万元补偿金）及利息，支付保证金</t>
    </r>
    <r>
      <rPr>
        <sz val="10"/>
        <rFont val="Cambria"/>
        <family val="0"/>
        <charset val="1"/>
      </rPr>
      <t xml:space="preserve">148.15</t>
    </r>
    <r>
      <rPr>
        <sz val="10"/>
        <rFont val="Noto Sans CJK SC"/>
        <family val="2"/>
      </rPr>
      <t xml:space="preserve">万元及利息，毕节市博泰房地产开发公司对补偿金及利息承担连带责任</t>
    </r>
  </si>
  <si>
    <t xml:space="preserve">一审判决驳回原告的诉讼请求</t>
  </si>
  <si>
    <t xml:space="preserve">二审判决维持原判</t>
  </si>
  <si>
    <t xml:space="preserve">被告不承担责任</t>
  </si>
  <si>
    <r>
      <rPr>
        <sz val="10"/>
        <rFont val="Noto Sans CJK SC"/>
        <family val="2"/>
      </rPr>
      <t xml:space="preserve">一审判决被告支付工程款</t>
    </r>
    <r>
      <rPr>
        <sz val="10"/>
        <rFont val="Cambria"/>
        <family val="0"/>
        <charset val="1"/>
      </rPr>
      <t xml:space="preserve">2874.09</t>
    </r>
    <r>
      <rPr>
        <sz val="10"/>
        <rFont val="Noto Sans CJK SC"/>
        <family val="2"/>
      </rPr>
      <t xml:space="preserve">万元及利息、质保金</t>
    </r>
    <r>
      <rPr>
        <sz val="10"/>
        <rFont val="Cambria"/>
        <family val="0"/>
        <charset val="1"/>
      </rPr>
      <t xml:space="preserve">444.46</t>
    </r>
    <r>
      <rPr>
        <sz val="10"/>
        <rFont val="Noto Sans CJK SC"/>
        <family val="2"/>
      </rPr>
      <t xml:space="preserve">万元及利息，七建公司享有优先受偿权</t>
    </r>
  </si>
  <si>
    <r>
      <rPr>
        <sz val="10"/>
        <rFont val="Noto Sans CJK SC"/>
        <family val="2"/>
      </rPr>
      <t xml:space="preserve">一审判决被告支付工程款</t>
    </r>
    <r>
      <rPr>
        <sz val="10"/>
        <rFont val="Cambria"/>
        <family val="0"/>
        <charset val="1"/>
      </rPr>
      <t xml:space="preserve">6337.79</t>
    </r>
    <r>
      <rPr>
        <sz val="10"/>
        <rFont val="Noto Sans CJK SC"/>
        <family val="2"/>
      </rPr>
      <t xml:space="preserve">万元及利息</t>
    </r>
  </si>
  <si>
    <r>
      <rPr>
        <sz val="10"/>
        <rFont val="Noto Sans CJK SC"/>
        <family val="2"/>
      </rPr>
      <t xml:space="preserve">一审判决被告支付原告工程款</t>
    </r>
    <r>
      <rPr>
        <sz val="10"/>
        <rFont val="Cambria"/>
        <family val="0"/>
        <charset val="1"/>
      </rPr>
      <t xml:space="preserve">680.58</t>
    </r>
    <r>
      <rPr>
        <sz val="10"/>
        <rFont val="Noto Sans CJK SC"/>
        <family val="2"/>
      </rPr>
      <t xml:space="preserve">万元及利息</t>
    </r>
  </si>
  <si>
    <r>
      <rPr>
        <sz val="10"/>
        <rFont val="Noto Sans CJK SC"/>
        <family val="2"/>
      </rPr>
      <t xml:space="preserve">一审判决被告支付原告工程款</t>
    </r>
    <r>
      <rPr>
        <sz val="10"/>
        <rFont val="Cambria"/>
        <family val="0"/>
        <charset val="1"/>
      </rPr>
      <t xml:space="preserve">7433.64</t>
    </r>
    <r>
      <rPr>
        <sz val="10"/>
        <rFont val="Noto Sans CJK SC"/>
        <family val="2"/>
      </rPr>
      <t xml:space="preserve">万元及资金占用损失，原告享有优先受偿权</t>
    </r>
  </si>
  <si>
    <r>
      <rPr>
        <sz val="10"/>
        <rFont val="Noto Sans CJK SC"/>
        <family val="2"/>
      </rPr>
      <t xml:space="preserve">二审判决被告支付工程款</t>
    </r>
    <r>
      <rPr>
        <sz val="10"/>
        <rFont val="Cambria"/>
        <family val="0"/>
        <charset val="1"/>
      </rPr>
      <t xml:space="preserve">5758.31</t>
    </r>
    <r>
      <rPr>
        <sz val="10"/>
        <rFont val="Noto Sans CJK SC"/>
        <family val="2"/>
      </rPr>
      <t xml:space="preserve">万元及资金占用损失，原告享有优先受偿权</t>
    </r>
  </si>
  <si>
    <t xml:space="preserve">判决已履行完毕</t>
  </si>
  <si>
    <r>
      <rPr>
        <sz val="10"/>
        <rFont val="Noto Sans CJK SC"/>
        <family val="2"/>
      </rPr>
      <t xml:space="preserve">一审判决被告支付工程款</t>
    </r>
    <r>
      <rPr>
        <sz val="10"/>
        <rFont val="Cambria"/>
        <family val="0"/>
        <charset val="1"/>
      </rPr>
      <t xml:space="preserve">5878.82</t>
    </r>
    <r>
      <rPr>
        <sz val="10"/>
        <rFont val="Noto Sans CJK SC"/>
        <family val="2"/>
      </rPr>
      <t xml:space="preserve">万元及利息，退还保证金</t>
    </r>
    <r>
      <rPr>
        <sz val="10"/>
        <rFont val="Cambria"/>
        <family val="0"/>
        <charset val="1"/>
      </rPr>
      <t xml:space="preserve">80.00</t>
    </r>
    <r>
      <rPr>
        <sz val="10"/>
        <rFont val="Noto Sans CJK SC"/>
        <family val="2"/>
      </rPr>
      <t xml:space="preserve">万元及利息，原告享有优先受偿权</t>
    </r>
  </si>
  <si>
    <r>
      <rPr>
        <sz val="10"/>
        <rFont val="Noto Sans CJK SC"/>
        <family val="2"/>
      </rPr>
      <t xml:space="preserve">后被告进入破产程序，原告分配到</t>
    </r>
    <r>
      <rPr>
        <sz val="10"/>
        <rFont val="Cambria"/>
        <family val="0"/>
        <charset val="1"/>
      </rPr>
      <t xml:space="preserve">2</t>
    </r>
    <r>
      <rPr>
        <sz val="10"/>
        <rFont val="Noto Sans CJK SC"/>
        <family val="2"/>
      </rPr>
      <t xml:space="preserve">笔债权共计</t>
    </r>
    <r>
      <rPr>
        <sz val="10"/>
        <rFont val="Cambria"/>
        <family val="0"/>
        <charset val="1"/>
      </rPr>
      <t xml:space="preserve">2856.23</t>
    </r>
    <r>
      <rPr>
        <sz val="10"/>
        <rFont val="Noto Sans CJK SC"/>
        <family val="2"/>
      </rPr>
      <t xml:space="preserve">万元后，被告公司注销，本案已结案</t>
    </r>
  </si>
  <si>
    <t xml:space="preserve">二审维持原判</t>
  </si>
  <si>
    <t xml:space="preserve">再审驳回了原告的再审申请</t>
  </si>
  <si>
    <t xml:space="preserve">判决已生效，本案已结案</t>
  </si>
  <si>
    <t xml:space="preserve">一审裁定驳回起诉</t>
  </si>
  <si>
    <t xml:space="preserve">二审撤销一审裁定，指令一审法院重审</t>
  </si>
  <si>
    <r>
      <rPr>
        <sz val="10"/>
        <rFont val="Noto Sans CJK SC"/>
        <family val="2"/>
      </rPr>
      <t xml:space="preserve">在重审过程中，被告进入破产重整程序，原告已确认享有优先债权</t>
    </r>
    <r>
      <rPr>
        <sz val="10"/>
        <rFont val="Cambria"/>
        <family val="0"/>
        <charset val="1"/>
      </rPr>
      <t xml:space="preserve">11686.18</t>
    </r>
    <r>
      <rPr>
        <sz val="10"/>
        <rFont val="Noto Sans CJK SC"/>
        <family val="2"/>
      </rPr>
      <t xml:space="preserve">万元，剩余少量债权尚在确认中，本案大部分债权得到确认</t>
    </r>
  </si>
  <si>
    <t xml:space="preserve">现原告已撤诉</t>
  </si>
  <si>
    <r>
      <rPr>
        <sz val="10"/>
        <rFont val="Noto Sans CJK SC"/>
        <family val="2"/>
      </rPr>
      <t xml:space="preserve">一审判决被告返还原告代付的款项</t>
    </r>
    <r>
      <rPr>
        <sz val="10"/>
        <rFont val="Cambria"/>
        <family val="0"/>
        <charset val="1"/>
      </rPr>
      <t xml:space="preserve">1126.60</t>
    </r>
    <r>
      <rPr>
        <sz val="10"/>
        <rFont val="Noto Sans CJK SC"/>
        <family val="2"/>
      </rPr>
      <t xml:space="preserve">万元及利息</t>
    </r>
  </si>
  <si>
    <t xml:space="preserve">判决已生效，案件正在履行中</t>
  </si>
  <si>
    <r>
      <rPr>
        <sz val="10"/>
        <rFont val="Noto Sans CJK SC"/>
        <family val="2"/>
      </rPr>
      <t xml:space="preserve">一审判决重庆富州房地产开发有限公司支付工程进度款</t>
    </r>
    <r>
      <rPr>
        <sz val="10"/>
        <rFont val="Cambria"/>
        <family val="0"/>
        <charset val="1"/>
      </rPr>
      <t xml:space="preserve">2084.32</t>
    </r>
    <r>
      <rPr>
        <sz val="10"/>
        <rFont val="Noto Sans CJK SC"/>
        <family val="2"/>
      </rPr>
      <t xml:space="preserve">万元及利息暂计</t>
    </r>
    <r>
      <rPr>
        <sz val="10"/>
        <rFont val="Cambria"/>
        <family val="0"/>
        <charset val="1"/>
      </rPr>
      <t xml:space="preserve">76.93</t>
    </r>
    <r>
      <rPr>
        <sz val="10"/>
        <rFont val="Noto Sans CJK SC"/>
        <family val="2"/>
      </rPr>
      <t xml:space="preserve">万元、退还履约保证金</t>
    </r>
    <r>
      <rPr>
        <sz val="10"/>
        <rFont val="Cambria"/>
        <family val="0"/>
        <charset val="1"/>
      </rPr>
      <t xml:space="preserve">218.45</t>
    </r>
    <r>
      <rPr>
        <sz val="10"/>
        <rFont val="Noto Sans CJK SC"/>
        <family val="2"/>
      </rPr>
      <t xml:space="preserve">万元及支付利息损失，原告（反诉被告）享有优先受偿权，驳回被告（反诉原告）的反诉请求</t>
    </r>
  </si>
  <si>
    <r>
      <rPr>
        <sz val="10"/>
        <rFont val="Noto Sans CJK SC"/>
        <family val="2"/>
      </rPr>
      <t xml:space="preserve">二审调解确认重庆富州房地产开发有限公司支付工程款</t>
    </r>
    <r>
      <rPr>
        <sz val="10"/>
        <rFont val="Cambria"/>
        <family val="0"/>
        <charset val="1"/>
      </rPr>
      <t xml:space="preserve">3997.21</t>
    </r>
    <r>
      <rPr>
        <sz val="10"/>
        <rFont val="Noto Sans CJK SC"/>
        <family val="2"/>
      </rPr>
      <t xml:space="preserve">万元</t>
    </r>
  </si>
  <si>
    <t xml:space="preserve">调解已生效，案件正在履行中</t>
  </si>
  <si>
    <r>
      <rPr>
        <sz val="10"/>
        <rFont val="Noto Sans CJK SC"/>
        <family val="2"/>
      </rPr>
      <t xml:space="preserve">一审判决被告支付工程款</t>
    </r>
    <r>
      <rPr>
        <sz val="10"/>
        <rFont val="Cambria"/>
        <family val="0"/>
        <charset val="1"/>
      </rPr>
      <t xml:space="preserve">1023.28</t>
    </r>
    <r>
      <rPr>
        <sz val="10"/>
        <rFont val="Noto Sans CJK SC"/>
        <family val="2"/>
      </rPr>
      <t xml:space="preserve">万元</t>
    </r>
  </si>
  <si>
    <r>
      <rPr>
        <sz val="10"/>
        <rFont val="Noto Sans CJK SC"/>
        <family val="2"/>
      </rPr>
      <t xml:space="preserve">一审判决被告支付工程款</t>
    </r>
    <r>
      <rPr>
        <sz val="10"/>
        <rFont val="Cambria"/>
        <family val="0"/>
        <charset val="1"/>
      </rPr>
      <t xml:space="preserve">6107.02</t>
    </r>
    <r>
      <rPr>
        <sz val="10"/>
        <rFont val="Noto Sans CJK SC"/>
        <family val="2"/>
      </rPr>
      <t xml:space="preserve">万元</t>
    </r>
  </si>
  <si>
    <t xml:space="preserve">被告已上诉，案件正在二审审理中</t>
  </si>
  <si>
    <r>
      <rPr>
        <sz val="10"/>
        <rFont val="Noto Sans CJK SC"/>
        <family val="2"/>
      </rPr>
      <t xml:space="preserve">一审判决被告支付工程款</t>
    </r>
    <r>
      <rPr>
        <sz val="10"/>
        <rFont val="Cambria"/>
        <family val="0"/>
        <charset val="1"/>
      </rPr>
      <t xml:space="preserve">10608.06</t>
    </r>
    <r>
      <rPr>
        <sz val="10"/>
        <rFont val="Noto Sans CJK SC"/>
        <family val="2"/>
      </rPr>
      <t xml:space="preserve">万元及利息，退还履约保证金</t>
    </r>
    <r>
      <rPr>
        <sz val="10"/>
        <rFont val="Cambria"/>
        <family val="0"/>
        <charset val="1"/>
      </rPr>
      <t xml:space="preserve">1000.00</t>
    </r>
    <r>
      <rPr>
        <sz val="10"/>
        <rFont val="Noto Sans CJK SC"/>
        <family val="2"/>
      </rPr>
      <t xml:space="preserve">万元及支付利息损失，原告享有优先受偿权</t>
    </r>
  </si>
  <si>
    <t xml:space="preserve">原告变更诉求</t>
  </si>
  <si>
    <t xml:space="preserve">案件已从重庆市沙坪坝区人民法院移送至兰州市中级人民法院审理</t>
  </si>
  <si>
    <r>
      <rPr>
        <sz val="10"/>
        <rFont val="Noto Sans CJK SC"/>
        <family val="2"/>
      </rPr>
      <t xml:space="preserve">一审判决解除合同，重庆鹏博实业有限公司、重庆瑞安物业发展有限公司支付工程款</t>
    </r>
    <r>
      <rPr>
        <sz val="10"/>
        <rFont val="Cambria"/>
        <family val="0"/>
        <charset val="1"/>
      </rPr>
      <t xml:space="preserve">17598.97</t>
    </r>
    <r>
      <rPr>
        <sz val="10"/>
        <rFont val="Noto Sans CJK SC"/>
        <family val="2"/>
      </rPr>
      <t xml:space="preserve">万元及利息，原告享有优先受偿权</t>
    </r>
  </si>
  <si>
    <t xml:space="preserve">原告变更诉讼请求</t>
  </si>
  <si>
    <r>
      <rPr>
        <sz val="10"/>
        <rFont val="Noto Sans CJK SC"/>
        <family val="2"/>
      </rPr>
      <t xml:space="preserve">一审判决被告支付工程款</t>
    </r>
    <r>
      <rPr>
        <sz val="10"/>
        <rFont val="Cambria"/>
        <family val="0"/>
        <charset val="1"/>
      </rPr>
      <t xml:space="preserve">1144.19</t>
    </r>
    <r>
      <rPr>
        <sz val="10"/>
        <rFont val="Noto Sans CJK SC"/>
        <family val="2"/>
      </rPr>
      <t xml:space="preserve">万元及利息，原告享有优先受偿权</t>
    </r>
  </si>
  <si>
    <t xml:space="preserve">双方均上诉，案件正在二审审理中</t>
  </si>
  <si>
    <r>
      <rPr>
        <sz val="10"/>
        <rFont val="Noto Sans CJK SC"/>
        <family val="2"/>
      </rPr>
      <t xml:space="preserve">一审判决被告旺苍县中瑞诚房地产开发有限责任公司支付工程进度款</t>
    </r>
    <r>
      <rPr>
        <sz val="10"/>
        <rFont val="Cambria"/>
        <family val="0"/>
        <charset val="1"/>
      </rPr>
      <t xml:space="preserve">351.91</t>
    </r>
    <r>
      <rPr>
        <sz val="10"/>
        <rFont val="Noto Sans CJK SC"/>
        <family val="2"/>
      </rPr>
      <t xml:space="preserve">万元及资金占用费暂计</t>
    </r>
    <r>
      <rPr>
        <sz val="10"/>
        <rFont val="Cambria"/>
        <family val="0"/>
        <charset val="1"/>
      </rPr>
      <t xml:space="preserve">361.65</t>
    </r>
    <r>
      <rPr>
        <sz val="10"/>
        <rFont val="Noto Sans CJK SC"/>
        <family val="2"/>
      </rPr>
      <t xml:space="preserve">万元，退还履约保证金的资金占用费暂计</t>
    </r>
    <r>
      <rPr>
        <sz val="10"/>
        <rFont val="Cambria"/>
        <family val="0"/>
        <charset val="1"/>
      </rPr>
      <t xml:space="preserve">100.13</t>
    </r>
    <r>
      <rPr>
        <sz val="10"/>
        <rFont val="Noto Sans CJK SC"/>
        <family val="2"/>
      </rPr>
      <t xml:space="preserve">万元，宋增军、杨洋、税国全、王宇、吴晓山、邓坤、税正玉承担连带责任，原告享有优先受偿权</t>
    </r>
  </si>
  <si>
    <t xml:space="preserve">原告已上诉，案件正在二审审理中</t>
  </si>
  <si>
    <t xml:space="preserve">补件码</t>
  </si>
  <si>
    <t xml:space="preserve">批次</t>
  </si>
  <si>
    <t xml:space="preserve">类别</t>
  </si>
  <si>
    <t xml:space="preserve">拟调取材料</t>
  </si>
  <si>
    <t xml:space="preserve">解决事实／核验问题</t>
  </si>
  <si>
    <t xml:space="preserve">拟调取对象</t>
  </si>
  <si>
    <t xml:space="preserve">状态</t>
  </si>
  <si>
    <t xml:space="preserve">请求日期</t>
  </si>
  <si>
    <t xml:space="preserve">收到日期</t>
  </si>
  <si>
    <t xml:space="preserve">原件核验日期</t>
  </si>
  <si>
    <t xml:space="preserve">法院期限（待核实）</t>
  </si>
  <si>
    <t xml:space="preserve">ANN-20260822-N01-S01</t>
  </si>
  <si>
    <t xml:space="preserve">第一批：诉辩／程序</t>
  </si>
  <si>
    <t xml:space="preserve">诉辩与主体</t>
  </si>
  <si>
    <t xml:space="preserve">完整起诉状、答辩状、证据目录附件、金额计算表、主体登记及授权</t>
  </si>
  <si>
    <t xml:space="preserve">核实当事人角色、责任主张和诉请构成；诉称事实不等于已证事实</t>
  </si>
  <si>
    <t xml:space="preserve">承办律师／客户（持有人待确认）</t>
  </si>
  <si>
    <t xml:space="preserve">仅有公告线索</t>
  </si>
  <si>
    <t xml:space="preserve">待调取／待核实</t>
  </si>
  <si>
    <t xml:space="preserve">ANN-20260822-N01-S02</t>
  </si>
  <si>
    <t xml:space="preserve">第二批：基础／履行</t>
  </si>
  <si>
    <t xml:space="preserve">合同及附件</t>
  </si>
  <si>
    <t xml:space="preserve">合同原件或可核验复制件、补充协议、招投标、担保与保证金约定</t>
  </si>
  <si>
    <t xml:space="preserve">核实签约主体、工程范围、价款、付款条件及责任基础，不作效力结论</t>
  </si>
  <si>
    <t xml:space="preserve">ANN-20260822-N01-S03</t>
  </si>
  <si>
    <t xml:space="preserve">付款凭证</t>
  </si>
  <si>
    <t xml:space="preserve">银行流水、付款凭证、收据、发票、往来对账及代付明细</t>
  </si>
  <si>
    <t xml:space="preserve">区分应收、已付、实收和余额；涉案额不直接计算尚欠</t>
  </si>
  <si>
    <t xml:space="preserve">ANN-20260822-N01-S04</t>
  </si>
  <si>
    <t xml:space="preserve">工程履行与结算</t>
  </si>
  <si>
    <t xml:space="preserve">施工记录、工程量确认、签证变更、验收移交、结算书与审核及往来确认</t>
  </si>
  <si>
    <t xml:space="preserve">核实工程量、履行、验收和结算基础、争议扣减及质保事项</t>
  </si>
  <si>
    <t xml:space="preserve">ANN-20260822-N01-S05</t>
  </si>
  <si>
    <t xml:space="preserve">催告及送达</t>
  </si>
  <si>
    <t xml:space="preserve">催告、解除和结算通知、原始邮件函件、邮寄回执与签收</t>
  </si>
  <si>
    <t xml:space="preserve">核实内容、对象、时间和送达事实，公告不能证明催告送达</t>
  </si>
  <si>
    <t xml:space="preserve">ANN-20260822-N01-S06</t>
  </si>
  <si>
    <t xml:space="preserve">法院程序</t>
  </si>
  <si>
    <t xml:space="preserve">受理与举证通知、庭审笔录、送达文书、保全执行资料及程序裁定</t>
  </si>
  <si>
    <t xml:space="preserve">核实案号、审级、事件日期、期限和当前状态，不以公告日计算期限</t>
  </si>
  <si>
    <t xml:space="preserve">ANN-20260822-N01-S07</t>
  </si>
  <si>
    <t xml:space="preserve">裁判与履行</t>
  </si>
  <si>
    <t xml:space="preserve">完整判决裁定调解书及附件、送达生效证明、履行和执行收款记录</t>
  </si>
  <si>
    <t xml:space="preserve">核对主文、责任、金额构成、生效及清偿；权利表述仅登记公告转述</t>
  </si>
  <si>
    <t xml:space="preserve">ANN-20260822-N01-S08</t>
  </si>
  <si>
    <t xml:space="preserve">第三批：专项复核</t>
  </si>
  <si>
    <t xml:space="preserve">逐案专项</t>
  </si>
  <si>
    <t xml:space="preserve">调取完整诉辩、受理及举证通知、合同履行与金额计算依据；核实具体程序日期及多被告责任主张。</t>
  </si>
  <si>
    <t xml:space="preserve">核对摘要与原件、金额口径及主体／程序特殊事项</t>
  </si>
  <si>
    <t xml:space="preserve">公告转述非原始证据</t>
  </si>
  <si>
    <t xml:space="preserve">ANN-20260822-N02-S01</t>
  </si>
  <si>
    <t xml:space="preserve">ANN-20260822-N02-S02</t>
  </si>
  <si>
    <t xml:space="preserve">ANN-20260822-N02-S03</t>
  </si>
  <si>
    <t xml:space="preserve">ANN-20260822-N02-S04</t>
  </si>
  <si>
    <t xml:space="preserve">ANN-20260822-N02-S05</t>
  </si>
  <si>
    <t xml:space="preserve">ANN-20260822-N02-S06</t>
  </si>
  <si>
    <t xml:space="preserve">ANN-20260822-N02-S07</t>
  </si>
  <si>
    <t xml:space="preserve">ANN-20260822-N02-S08</t>
  </si>
  <si>
    <t xml:space="preserve">ANN-20260822-N03-S01</t>
  </si>
  <si>
    <t xml:space="preserve">ANN-20260822-N03-S02</t>
  </si>
  <si>
    <t xml:space="preserve">ANN-20260822-N03-S03</t>
  </si>
  <si>
    <t xml:space="preserve">ANN-20260822-N03-S04</t>
  </si>
  <si>
    <t xml:space="preserve">ANN-20260822-N03-S05</t>
  </si>
  <si>
    <t xml:space="preserve">ANN-20260822-N03-S06</t>
  </si>
  <si>
    <t xml:space="preserve">ANN-20260822-N03-S07</t>
  </si>
  <si>
    <t xml:space="preserve">ANN-20260822-N03-S08</t>
  </si>
  <si>
    <t xml:space="preserve">ANN-20260822-N04-S01</t>
  </si>
  <si>
    <t xml:space="preserve">ANN-20260822-N04-S02</t>
  </si>
  <si>
    <t xml:space="preserve">ANN-20260822-N04-S03</t>
  </si>
  <si>
    <t xml:space="preserve">ANN-20260822-N04-S04</t>
  </si>
  <si>
    <t xml:space="preserve">ANN-20260822-N04-S05</t>
  </si>
  <si>
    <t xml:space="preserve">ANN-20260822-N04-S06</t>
  </si>
  <si>
    <t xml:space="preserve">ANN-20260822-N04-S07</t>
  </si>
  <si>
    <t xml:space="preserve">ANN-20260822-N04-S08</t>
  </si>
  <si>
    <t xml:space="preserve">ANN-20260822-P01-S01</t>
  </si>
  <si>
    <t xml:space="preserve">ANN-20260822-P01-S02</t>
  </si>
  <si>
    <t xml:space="preserve">ANN-20260822-P01-S03</t>
  </si>
  <si>
    <t xml:space="preserve">ANN-20260822-P01-S04</t>
  </si>
  <si>
    <t xml:space="preserve">ANN-20260822-P01-S05</t>
  </si>
  <si>
    <t xml:space="preserve">ANN-20260822-P01-S06</t>
  </si>
  <si>
    <t xml:space="preserve">ANN-20260822-P01-S07</t>
  </si>
  <si>
    <t xml:space="preserve">ANN-20260822-P01-S08</t>
  </si>
  <si>
    <t xml:space="preserve">ANN-20260822-P02-S01</t>
  </si>
  <si>
    <t xml:space="preserve">ANN-20260822-P02-S02</t>
  </si>
  <si>
    <t xml:space="preserve">ANN-20260822-P02-S03</t>
  </si>
  <si>
    <t xml:space="preserve">ANN-20260822-P02-S04</t>
  </si>
  <si>
    <t xml:space="preserve">ANN-20260822-P02-S05</t>
  </si>
  <si>
    <t xml:space="preserve">ANN-20260822-P02-S06</t>
  </si>
  <si>
    <t xml:space="preserve">ANN-20260822-P02-S07</t>
  </si>
  <si>
    <t xml:space="preserve">ANN-20260822-P02-S08</t>
  </si>
  <si>
    <t xml:space="preserve">ANN-20260822-P03-S01</t>
  </si>
  <si>
    <t xml:space="preserve">ANN-20260822-P03-S02</t>
  </si>
  <si>
    <t xml:space="preserve">ANN-20260822-P03-S03</t>
  </si>
  <si>
    <t xml:space="preserve">ANN-20260822-P03-S04</t>
  </si>
  <si>
    <t xml:space="preserve">ANN-20260822-P03-S05</t>
  </si>
  <si>
    <t xml:space="preserve">ANN-20260822-P03-S06</t>
  </si>
  <si>
    <t xml:space="preserve">ANN-20260822-P03-S07</t>
  </si>
  <si>
    <t xml:space="preserve">ANN-20260822-P03-S08</t>
  </si>
  <si>
    <t xml:space="preserve">ANN-20260822-P04-S01</t>
  </si>
  <si>
    <t xml:space="preserve">ANN-20260822-P04-S02</t>
  </si>
  <si>
    <t xml:space="preserve">ANN-20260822-P04-S03</t>
  </si>
  <si>
    <t xml:space="preserve">ANN-20260822-P04-S04</t>
  </si>
  <si>
    <t xml:space="preserve">ANN-20260822-P04-S05</t>
  </si>
  <si>
    <t xml:space="preserve">ANN-20260822-P04-S06</t>
  </si>
  <si>
    <t xml:space="preserve">ANN-20260822-P04-S07</t>
  </si>
  <si>
    <t xml:space="preserve">ANN-20260822-P04-S08</t>
  </si>
  <si>
    <t xml:space="preserve">ANN-20260822-P05-S01</t>
  </si>
  <si>
    <t xml:space="preserve">ANN-20260822-P05-S02</t>
  </si>
  <si>
    <t xml:space="preserve">ANN-20260822-P05-S03</t>
  </si>
  <si>
    <t xml:space="preserve">ANN-20260822-P05-S04</t>
  </si>
  <si>
    <t xml:space="preserve">ANN-20260822-P05-S05</t>
  </si>
  <si>
    <t xml:space="preserve">ANN-20260822-P05-S06</t>
  </si>
  <si>
    <t xml:space="preserve">ANN-20260822-P05-S07</t>
  </si>
  <si>
    <t xml:space="preserve">ANN-20260822-P05-S08</t>
  </si>
  <si>
    <t xml:space="preserve">ANN-20260822-P06-S01</t>
  </si>
  <si>
    <t xml:space="preserve">ANN-20260822-P06-S02</t>
  </si>
  <si>
    <t xml:space="preserve">ANN-20260822-P06-S03</t>
  </si>
  <si>
    <t xml:space="preserve">ANN-20260822-P06-S04</t>
  </si>
  <si>
    <t xml:space="preserve">ANN-20260822-P06-S05</t>
  </si>
  <si>
    <t xml:space="preserve">ANN-20260822-P06-S06</t>
  </si>
  <si>
    <t xml:space="preserve">ANN-20260822-P06-S07</t>
  </si>
  <si>
    <t xml:space="preserve">ANN-20260822-P06-S08</t>
  </si>
  <si>
    <t xml:space="preserve">ANN-20260822-P07-S01</t>
  </si>
  <si>
    <t xml:space="preserve">ANN-20260822-P07-S02</t>
  </si>
  <si>
    <t xml:space="preserve">ANN-20260822-P07-S03</t>
  </si>
  <si>
    <t xml:space="preserve">ANN-20260822-P07-S04</t>
  </si>
  <si>
    <t xml:space="preserve">ANN-20260822-P07-S05</t>
  </si>
  <si>
    <t xml:space="preserve">ANN-20260822-P07-S06</t>
  </si>
  <si>
    <t xml:space="preserve">ANN-20260822-P07-S07</t>
  </si>
  <si>
    <t xml:space="preserve">ANN-20260822-P07-S08</t>
  </si>
  <si>
    <t xml:space="preserve">ANN-20260822-P08-S01</t>
  </si>
  <si>
    <t xml:space="preserve">ANN-20260822-P08-S02</t>
  </si>
  <si>
    <t xml:space="preserve">ANN-20260822-P08-S03</t>
  </si>
  <si>
    <t xml:space="preserve">ANN-20260822-P08-S04</t>
  </si>
  <si>
    <t xml:space="preserve">ANN-20260822-P08-S05</t>
  </si>
  <si>
    <t xml:space="preserve">ANN-20260822-P08-S06</t>
  </si>
  <si>
    <t xml:space="preserve">ANN-20260822-P08-S07</t>
  </si>
  <si>
    <t xml:space="preserve">ANN-20260822-P08-S08</t>
  </si>
  <si>
    <t xml:space="preserve">ANN-20260822-P09-S01</t>
  </si>
  <si>
    <t xml:space="preserve">ANN-20260822-P09-S02</t>
  </si>
  <si>
    <t xml:space="preserve">ANN-20260822-P09-S03</t>
  </si>
  <si>
    <t xml:space="preserve">ANN-20260822-P09-S04</t>
  </si>
  <si>
    <t xml:space="preserve">ANN-20260822-P09-S05</t>
  </si>
  <si>
    <t xml:space="preserve">ANN-20260822-P09-S06</t>
  </si>
  <si>
    <t xml:space="preserve">ANN-20260822-P09-S07</t>
  </si>
  <si>
    <t xml:space="preserve">ANN-20260822-P09-S08</t>
  </si>
  <si>
    <t xml:space="preserve">ANN-20260822-P10-S01</t>
  </si>
  <si>
    <t xml:space="preserve">ANN-20260822-P10-S02</t>
  </si>
  <si>
    <t xml:space="preserve">ANN-20260822-P10-S03</t>
  </si>
  <si>
    <t xml:space="preserve">ANN-20260822-P10-S04</t>
  </si>
  <si>
    <t xml:space="preserve">ANN-20260822-P10-S05</t>
  </si>
  <si>
    <t xml:space="preserve">ANN-20260822-P10-S06</t>
  </si>
  <si>
    <t xml:space="preserve">ANN-20260822-P10-S07</t>
  </si>
  <si>
    <t xml:space="preserve">ANN-20260822-P10-S08</t>
  </si>
  <si>
    <t xml:space="preserve">ANN-20260822-P11-S01</t>
  </si>
  <si>
    <t xml:space="preserve">ANN-20260822-P11-S02</t>
  </si>
  <si>
    <t xml:space="preserve">ANN-20260822-P11-S03</t>
  </si>
  <si>
    <t xml:space="preserve">ANN-20260822-P11-S04</t>
  </si>
  <si>
    <t xml:space="preserve">ANN-20260822-P11-S05</t>
  </si>
  <si>
    <t xml:space="preserve">ANN-20260822-P11-S06</t>
  </si>
  <si>
    <t xml:space="preserve">ANN-20260822-P11-S07</t>
  </si>
  <si>
    <t xml:space="preserve">ANN-20260822-P11-S08</t>
  </si>
  <si>
    <t xml:space="preserve">ANN-20260822-P12-S01</t>
  </si>
  <si>
    <t xml:space="preserve">ANN-20260822-P12-S02</t>
  </si>
  <si>
    <t xml:space="preserve">ANN-20260822-P12-S03</t>
  </si>
  <si>
    <t xml:space="preserve">ANN-20260822-P12-S04</t>
  </si>
  <si>
    <t xml:space="preserve">ANN-20260822-P12-S05</t>
  </si>
  <si>
    <t xml:space="preserve">ANN-20260822-P12-S06</t>
  </si>
  <si>
    <t xml:space="preserve">ANN-20260822-P12-S07</t>
  </si>
  <si>
    <t xml:space="preserve">ANN-20260822-P12-S08</t>
  </si>
  <si>
    <t xml:space="preserve">ANN-20260822-P13-S01</t>
  </si>
  <si>
    <t xml:space="preserve">ANN-20260822-P13-S02</t>
  </si>
  <si>
    <t xml:space="preserve">ANN-20260822-P13-S03</t>
  </si>
  <si>
    <t xml:space="preserve">ANN-20260822-P13-S04</t>
  </si>
  <si>
    <t xml:space="preserve">ANN-20260822-P13-S05</t>
  </si>
  <si>
    <t xml:space="preserve">ANN-20260822-P13-S06</t>
  </si>
  <si>
    <t xml:space="preserve">ANN-20260822-P13-S07</t>
  </si>
  <si>
    <t xml:space="preserve">ANN-20260822-P13-S08</t>
  </si>
  <si>
    <t xml:space="preserve">ANN-20260822-P14-S01</t>
  </si>
  <si>
    <t xml:space="preserve">ANN-20260822-P14-S02</t>
  </si>
  <si>
    <t xml:space="preserve">ANN-20260822-P14-S03</t>
  </si>
  <si>
    <t xml:space="preserve">ANN-20260822-P14-S04</t>
  </si>
  <si>
    <t xml:space="preserve">ANN-20260822-P14-S05</t>
  </si>
  <si>
    <t xml:space="preserve">ANN-20260822-P14-S06</t>
  </si>
  <si>
    <t xml:space="preserve">ANN-20260822-P14-S07</t>
  </si>
  <si>
    <t xml:space="preserve">ANN-20260822-P14-S08</t>
  </si>
  <si>
    <t xml:space="preserve">ANN-20260822-P15-S01</t>
  </si>
  <si>
    <t xml:space="preserve">ANN-20260822-P15-S02</t>
  </si>
  <si>
    <t xml:space="preserve">ANN-20260822-P15-S03</t>
  </si>
  <si>
    <t xml:space="preserve">ANN-20260822-P15-S04</t>
  </si>
  <si>
    <t xml:space="preserve">ANN-20260822-P15-S05</t>
  </si>
  <si>
    <t xml:space="preserve">ANN-20260822-P15-S06</t>
  </si>
  <si>
    <t xml:space="preserve">ANN-20260822-P15-S07</t>
  </si>
  <si>
    <t xml:space="preserve">ANN-20260822-P15-S08</t>
  </si>
  <si>
    <t xml:space="preserve">ANN-20260822-P16-S01</t>
  </si>
  <si>
    <t xml:space="preserve">ANN-20260822-P16-S02</t>
  </si>
  <si>
    <t xml:space="preserve">ANN-20260822-P16-S03</t>
  </si>
  <si>
    <t xml:space="preserve">ANN-20260822-P16-S04</t>
  </si>
  <si>
    <t xml:space="preserve">ANN-20260822-P16-S05</t>
  </si>
  <si>
    <t xml:space="preserve">ANN-20260822-P16-S06</t>
  </si>
  <si>
    <t xml:space="preserve">ANN-20260822-P16-S07</t>
  </si>
  <si>
    <t xml:space="preserve">ANN-20260822-P16-S08</t>
  </si>
  <si>
    <t xml:space="preserve">ANN-20260822-P17-S01</t>
  </si>
  <si>
    <t xml:space="preserve">ANN-20260822-P17-S02</t>
  </si>
  <si>
    <t xml:space="preserve">ANN-20260822-P17-S03</t>
  </si>
  <si>
    <t xml:space="preserve">ANN-20260822-P17-S04</t>
  </si>
  <si>
    <t xml:space="preserve">ANN-20260822-P17-S05</t>
  </si>
  <si>
    <t xml:space="preserve">ANN-20260822-P17-S06</t>
  </si>
  <si>
    <t xml:space="preserve">ANN-20260822-P17-S07</t>
  </si>
  <si>
    <t xml:space="preserve">ANN-20260822-P17-S08</t>
  </si>
  <si>
    <t xml:space="preserve">ANN-20260822-P18-S01</t>
  </si>
  <si>
    <t xml:space="preserve">ANN-20260822-P18-S02</t>
  </si>
  <si>
    <t xml:space="preserve">ANN-20260822-P18-S03</t>
  </si>
  <si>
    <t xml:space="preserve">ANN-20260822-P18-S04</t>
  </si>
  <si>
    <t xml:space="preserve">ANN-20260822-P18-S05</t>
  </si>
  <si>
    <t xml:space="preserve">ANN-20260822-P18-S06</t>
  </si>
  <si>
    <t xml:space="preserve">ANN-20260822-P18-S07</t>
  </si>
  <si>
    <t xml:space="preserve">ANN-20260822-P18-S08</t>
  </si>
  <si>
    <t xml:space="preserve">ANN-20260822-P19-S01</t>
  </si>
  <si>
    <t xml:space="preserve">ANN-20260822-P19-S02</t>
  </si>
  <si>
    <t xml:space="preserve">ANN-20260822-P19-S03</t>
  </si>
  <si>
    <t xml:space="preserve">ANN-20260822-P19-S04</t>
  </si>
  <si>
    <t xml:space="preserve">ANN-20260822-P19-S05</t>
  </si>
  <si>
    <t xml:space="preserve">ANN-20260822-P19-S06</t>
  </si>
  <si>
    <t xml:space="preserve">ANN-20260822-P19-S07</t>
  </si>
  <si>
    <t xml:space="preserve">ANN-20260822-P19-S08</t>
  </si>
  <si>
    <t xml:space="preserve">ANN-20260822-FIN</t>
  </si>
  <si>
    <t xml:space="preserve">第三批：财务专项</t>
  </si>
  <si>
    <t xml:space="preserve">利润影响</t>
  </si>
  <si>
    <r>
      <rPr>
        <sz val="10"/>
        <rFont val="Cambria"/>
        <family val="0"/>
        <charset val="1"/>
      </rPr>
      <t xml:space="preserve">204.62</t>
    </r>
    <r>
      <rPr>
        <sz val="10"/>
        <rFont val="Noto Sans CJK SC"/>
        <family val="2"/>
      </rPr>
      <t xml:space="preserve">万元计算底稿、已结案清单、会计凭证及审计确认</t>
    </r>
  </si>
  <si>
    <t xml:space="preserve">核实利润年度、归属与计算；公告未逐案分配，未经审计</t>
  </si>
  <si>
    <t xml:space="preserve">客户财务／承办律师</t>
  </si>
  <si>
    <t xml:space="preserve">5</t>
  </si>
  <si>
    <t xml:space="preserve">发行人财务影响披露</t>
  </si>
</sst>
</file>

<file path=xl/styles.xml><?xml version="1.0" encoding="utf-8"?>
<styleSheet xmlns="http://schemas.openxmlformats.org/spreadsheetml/2006/main">
  <numFmts count="3">
    <numFmt numFmtId="164" formatCode="General"/>
    <numFmt numFmtId="165" formatCode="yyyy\-mm\-dd"/>
    <numFmt numFmtId="166" formatCode="#,##0.00"/>
  </numFmts>
  <fonts count="8">
    <font>
      <sz val="11"/>
      <color rgb="FF000000"/>
      <name val="Calibri"/>
      <family val="2"/>
      <charset val="1"/>
    </font>
    <font>
      <sz val="10"/>
      <name val="Arial"/>
      <family val="0"/>
    </font>
    <font>
      <sz val="10"/>
      <name val="Arial"/>
      <family val="0"/>
    </font>
    <font>
      <sz val="10"/>
      <name val="Arial"/>
      <family val="0"/>
    </font>
    <font>
      <b val="true"/>
      <sz val="11"/>
      <color rgb="FFFFFFFF"/>
      <name val="Noto Sans CJK SC"/>
      <family val="2"/>
    </font>
    <font>
      <b val="true"/>
      <sz val="11"/>
      <color rgb="FFFFFFFF"/>
      <name val="Cambria"/>
      <family val="0"/>
      <charset val="1"/>
    </font>
    <font>
      <sz val="10"/>
      <name val="Cambria"/>
      <family val="0"/>
      <charset val="1"/>
    </font>
    <font>
      <sz val="10"/>
      <name val="Noto Sans CJK SC"/>
      <family val="2"/>
    </font>
  </fonts>
  <fills count="3">
    <fill>
      <patternFill patternType="none"/>
    </fill>
    <fill>
      <patternFill patternType="gray125"/>
    </fill>
    <fill>
      <patternFill patternType="solid">
        <fgColor rgb="FF234967"/>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34967"/>
        </patternFill>
      </fill>
    </dxf>
    <dxf>
      <fill>
        <patternFill patternType="solid">
          <fgColor rgb="00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34967"/>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aseRegister" displayName="CaseRegister" ref="A1:U24" headerRowCount="1" totalsRowCount="0" totalsRowShown="0">
  <autoFilter ref="A1:U24"/>
  <tableColumns count="21">
    <tableColumn id="1" name="内部整理码"/>
    <tableColumn id="2" name="公告分组"/>
    <tableColumn id="3" name="公告序号"/>
    <tableColumn id="4" name="公告提交编号"/>
    <tableColumn id="5" name="原告（本诉）"/>
    <tableColumn id="6" name="被告（本诉）"/>
    <tableColumn id="7" name="第三人"/>
    <tableColumn id="8" name="案由"/>
    <tableColumn id="9" name="公告案号"/>
    <tableColumn id="10" name="涉案金额（万元，本诉）"/>
    <tableColumn id="11" name="反诉涉案金额（万元）"/>
    <tableColumn id="12" name="受理法院（公告原文）"/>
    <tableColumn id="13" name="公告所述进展"/>
    <tableColumn id="14" name="原件页码"/>
    <tableColumn id="15" name="公告日期"/>
    <tableColumn id="16" name="程序事件日期"/>
    <tableColumn id="17" name="待核实日期"/>
    <tableColumn id="18" name="进展分类"/>
    <tableColumn id="19" name="事实角色"/>
    <tableColumn id="20" name="核验状态"/>
    <tableColumn id="21" name="专项提示"/>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0" min="1" style="0" width="27"/>
  </cols>
  <sheetData>
    <row r="1" customFormat="false" ht="15" hidden="false" customHeight="false" outlineLevel="0" collapsed="false">
      <c r="A1" s="1" t="s">
        <v>0</v>
      </c>
      <c r="B1" s="1" t="s">
        <v>1</v>
      </c>
      <c r="C1" s="1" t="s">
        <v>2</v>
      </c>
      <c r="D1" s="1" t="s">
        <v>3</v>
      </c>
      <c r="E1" s="1" t="s">
        <v>4</v>
      </c>
      <c r="F1" s="1" t="s">
        <v>5</v>
      </c>
      <c r="G1" s="1" t="s">
        <v>6</v>
      </c>
      <c r="H1" s="1" t="s">
        <v>7</v>
      </c>
      <c r="I1" s="1" t="s">
        <v>8</v>
      </c>
      <c r="J1" s="2" t="s">
        <v>9</v>
      </c>
    </row>
    <row r="2" customFormat="false" ht="64.5" hidden="false" customHeight="true" outlineLevel="0" collapsed="false">
      <c r="A2" s="3" t="s">
        <v>10</v>
      </c>
      <c r="B2" s="3" t="s">
        <v>11</v>
      </c>
      <c r="C2" s="4" t="s">
        <v>12</v>
      </c>
      <c r="D2" s="5" t="n">
        <v>46256</v>
      </c>
      <c r="E2" s="3" t="n">
        <v>5</v>
      </c>
      <c r="F2" s="3" t="s">
        <v>13</v>
      </c>
      <c r="G2" s="4" t="s">
        <v>14</v>
      </c>
      <c r="H2" s="4" t="s">
        <v>15</v>
      </c>
      <c r="I2" s="4" t="s">
        <v>16</v>
      </c>
      <c r="J2" s="3" t="s">
        <v>17</v>
      </c>
    </row>
  </sheetData>
  <autoFilter ref="A1:J2"/>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4" min="1" style="0" width="27"/>
    <col collapsed="false" customWidth="true" hidden="false" outlineLevel="0" max="6" min="5" style="0" width="55"/>
    <col collapsed="false" customWidth="true" hidden="false" outlineLevel="0" max="11" min="7" style="0" width="27"/>
    <col collapsed="false" customWidth="true" hidden="false" outlineLevel="0" max="13" min="12" style="0" width="55"/>
    <col collapsed="false" customWidth="true" hidden="false" outlineLevel="0" max="20" min="14" style="0" width="27"/>
    <col collapsed="false" customWidth="true" hidden="false" outlineLevel="0" max="21" min="21" style="0" width="55"/>
  </cols>
  <sheetData>
    <row r="1" customFormat="false" ht="15" hidden="false" customHeight="false" outlineLevel="0" collapsed="false">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v>
      </c>
      <c r="P1" s="1" t="s">
        <v>32</v>
      </c>
      <c r="Q1" s="1" t="s">
        <v>33</v>
      </c>
      <c r="R1" s="1" t="s">
        <v>34</v>
      </c>
      <c r="S1" s="1" t="s">
        <v>7</v>
      </c>
      <c r="T1" s="1" t="s">
        <v>8</v>
      </c>
      <c r="U1" s="1" t="s">
        <v>35</v>
      </c>
    </row>
    <row r="2" customFormat="false" ht="109.5" hidden="false" customHeight="true" outlineLevel="0" collapsed="false">
      <c r="A2" s="3" t="s">
        <v>36</v>
      </c>
      <c r="B2" s="4" t="s">
        <v>37</v>
      </c>
      <c r="C2" s="3" t="n">
        <v>1</v>
      </c>
      <c r="D2" s="4" t="s">
        <v>38</v>
      </c>
      <c r="E2" s="4" t="s">
        <v>39</v>
      </c>
      <c r="F2" s="4" t="s">
        <v>40</v>
      </c>
      <c r="G2" s="3"/>
      <c r="H2" s="4" t="s">
        <v>41</v>
      </c>
      <c r="I2" s="3" t="s">
        <v>42</v>
      </c>
      <c r="J2" s="6" t="n">
        <v>8966.45</v>
      </c>
      <c r="K2" s="6"/>
      <c r="L2" s="4" t="s">
        <v>43</v>
      </c>
      <c r="M2" s="4" t="s">
        <v>44</v>
      </c>
      <c r="N2" s="3" t="s">
        <v>45</v>
      </c>
      <c r="O2" s="5" t="n">
        <v>46256</v>
      </c>
      <c r="P2" s="3"/>
      <c r="Q2" s="3"/>
      <c r="R2" s="4" t="s">
        <v>46</v>
      </c>
      <c r="S2" s="4" t="s">
        <v>47</v>
      </c>
      <c r="T2" s="4" t="s">
        <v>48</v>
      </c>
      <c r="U2" s="4" t="s">
        <v>49</v>
      </c>
    </row>
    <row r="3" customFormat="false" ht="109.5" hidden="false" customHeight="true" outlineLevel="0" collapsed="false">
      <c r="A3" s="3" t="s">
        <v>50</v>
      </c>
      <c r="B3" s="4" t="s">
        <v>37</v>
      </c>
      <c r="C3" s="3" t="n">
        <v>2</v>
      </c>
      <c r="D3" s="4" t="s">
        <v>51</v>
      </c>
      <c r="E3" s="4" t="s">
        <v>52</v>
      </c>
      <c r="F3" s="4" t="s">
        <v>53</v>
      </c>
      <c r="G3" s="3"/>
      <c r="H3" s="4" t="s">
        <v>41</v>
      </c>
      <c r="I3" s="3" t="s">
        <v>54</v>
      </c>
      <c r="J3" s="6" t="n">
        <v>3332.63</v>
      </c>
      <c r="K3" s="6"/>
      <c r="L3" s="4" t="s">
        <v>55</v>
      </c>
      <c r="M3" s="4" t="s">
        <v>44</v>
      </c>
      <c r="N3" s="3" t="s">
        <v>45</v>
      </c>
      <c r="O3" s="5" t="n">
        <v>46256</v>
      </c>
      <c r="P3" s="3"/>
      <c r="Q3" s="3"/>
      <c r="R3" s="4" t="s">
        <v>46</v>
      </c>
      <c r="S3" s="4" t="s">
        <v>47</v>
      </c>
      <c r="T3" s="4" t="s">
        <v>48</v>
      </c>
      <c r="U3" s="3"/>
    </row>
    <row r="4" customFormat="false" ht="109.5" hidden="false" customHeight="true" outlineLevel="0" collapsed="false">
      <c r="A4" s="3" t="s">
        <v>56</v>
      </c>
      <c r="B4" s="4" t="s">
        <v>37</v>
      </c>
      <c r="C4" s="3" t="n">
        <v>3</v>
      </c>
      <c r="D4" s="4" t="s">
        <v>57</v>
      </c>
      <c r="E4" s="4" t="s">
        <v>52</v>
      </c>
      <c r="F4" s="4" t="s">
        <v>58</v>
      </c>
      <c r="G4" s="3"/>
      <c r="H4" s="4" t="s">
        <v>59</v>
      </c>
      <c r="I4" s="3" t="s">
        <v>60</v>
      </c>
      <c r="J4" s="6" t="n">
        <v>8094.68</v>
      </c>
      <c r="K4" s="6"/>
      <c r="L4" s="4" t="s">
        <v>61</v>
      </c>
      <c r="M4" s="4" t="s">
        <v>44</v>
      </c>
      <c r="N4" s="3" t="s">
        <v>62</v>
      </c>
      <c r="O4" s="5" t="n">
        <v>46256</v>
      </c>
      <c r="P4" s="3"/>
      <c r="Q4" s="3"/>
      <c r="R4" s="4" t="s">
        <v>46</v>
      </c>
      <c r="S4" s="4" t="s">
        <v>47</v>
      </c>
      <c r="T4" s="4" t="s">
        <v>48</v>
      </c>
      <c r="U4" s="3"/>
    </row>
    <row r="5" customFormat="false" ht="109.5" hidden="false" customHeight="true" outlineLevel="0" collapsed="false">
      <c r="A5" s="3" t="s">
        <v>63</v>
      </c>
      <c r="B5" s="4" t="s">
        <v>37</v>
      </c>
      <c r="C5" s="3" t="n">
        <v>4</v>
      </c>
      <c r="D5" s="4" t="s">
        <v>64</v>
      </c>
      <c r="E5" s="4" t="s">
        <v>65</v>
      </c>
      <c r="F5" s="4" t="s">
        <v>66</v>
      </c>
      <c r="G5" s="3"/>
      <c r="H5" s="4" t="s">
        <v>59</v>
      </c>
      <c r="I5" s="3" t="s">
        <v>67</v>
      </c>
      <c r="J5" s="6" t="n">
        <v>47444.1</v>
      </c>
      <c r="K5" s="6"/>
      <c r="L5" s="4" t="s">
        <v>68</v>
      </c>
      <c r="M5" s="4" t="s">
        <v>44</v>
      </c>
      <c r="N5" s="3" t="s">
        <v>62</v>
      </c>
      <c r="O5" s="5" t="n">
        <v>46256</v>
      </c>
      <c r="P5" s="3"/>
      <c r="Q5" s="3"/>
      <c r="R5" s="4" t="s">
        <v>46</v>
      </c>
      <c r="S5" s="4" t="s">
        <v>47</v>
      </c>
      <c r="T5" s="4" t="s">
        <v>48</v>
      </c>
      <c r="U5" s="4" t="s">
        <v>49</v>
      </c>
    </row>
    <row r="6" customFormat="false" ht="109.5" hidden="false" customHeight="true" outlineLevel="0" collapsed="false">
      <c r="A6" s="3" t="s">
        <v>69</v>
      </c>
      <c r="B6" s="4" t="s">
        <v>70</v>
      </c>
      <c r="C6" s="3" t="n">
        <v>1</v>
      </c>
      <c r="D6" s="4" t="s">
        <v>71</v>
      </c>
      <c r="E6" s="4" t="s">
        <v>52</v>
      </c>
      <c r="F6" s="4" t="s">
        <v>72</v>
      </c>
      <c r="G6" s="3"/>
      <c r="H6" s="4" t="s">
        <v>59</v>
      </c>
      <c r="I6" s="3" t="s">
        <v>73</v>
      </c>
      <c r="J6" s="6" t="n">
        <v>1534.22</v>
      </c>
      <c r="K6" s="6"/>
      <c r="L6" s="4" t="s">
        <v>74</v>
      </c>
      <c r="M6" s="4" t="s">
        <v>75</v>
      </c>
      <c r="N6" s="3" t="s">
        <v>62</v>
      </c>
      <c r="O6" s="5" t="n">
        <v>46256</v>
      </c>
      <c r="P6" s="3"/>
      <c r="Q6" s="3"/>
      <c r="R6" s="4" t="s">
        <v>76</v>
      </c>
      <c r="S6" s="4" t="s">
        <v>47</v>
      </c>
      <c r="T6" s="4" t="s">
        <v>48</v>
      </c>
      <c r="U6" s="4" t="s">
        <v>77</v>
      </c>
    </row>
    <row r="7" customFormat="false" ht="109.5" hidden="false" customHeight="true" outlineLevel="0" collapsed="false">
      <c r="A7" s="3" t="s">
        <v>78</v>
      </c>
      <c r="B7" s="4" t="s">
        <v>70</v>
      </c>
      <c r="C7" s="3" t="n">
        <v>2</v>
      </c>
      <c r="D7" s="4" t="s">
        <v>79</v>
      </c>
      <c r="E7" s="4" t="s">
        <v>52</v>
      </c>
      <c r="F7" s="4" t="s">
        <v>80</v>
      </c>
      <c r="G7" s="3"/>
      <c r="H7" s="4" t="s">
        <v>59</v>
      </c>
      <c r="I7" s="3" t="s">
        <v>81</v>
      </c>
      <c r="J7" s="6" t="n">
        <v>2668.69</v>
      </c>
      <c r="K7" s="6"/>
      <c r="L7" s="4" t="s">
        <v>74</v>
      </c>
      <c r="M7" s="4" t="s">
        <v>82</v>
      </c>
      <c r="N7" s="3" t="s">
        <v>62</v>
      </c>
      <c r="O7" s="5" t="n">
        <v>46256</v>
      </c>
      <c r="P7" s="3"/>
      <c r="Q7" s="3"/>
      <c r="R7" s="4" t="s">
        <v>76</v>
      </c>
      <c r="S7" s="4" t="s">
        <v>47</v>
      </c>
      <c r="T7" s="4" t="s">
        <v>48</v>
      </c>
      <c r="U7" s="4" t="s">
        <v>83</v>
      </c>
    </row>
    <row r="8" customFormat="false" ht="109.5" hidden="false" customHeight="true" outlineLevel="0" collapsed="false">
      <c r="A8" s="3" t="s">
        <v>84</v>
      </c>
      <c r="B8" s="4" t="s">
        <v>70</v>
      </c>
      <c r="C8" s="3" t="n">
        <v>3</v>
      </c>
      <c r="D8" s="4" t="s">
        <v>85</v>
      </c>
      <c r="E8" s="4" t="s">
        <v>86</v>
      </c>
      <c r="F8" s="4" t="s">
        <v>87</v>
      </c>
      <c r="G8" s="4" t="s">
        <v>88</v>
      </c>
      <c r="H8" s="4" t="s">
        <v>59</v>
      </c>
      <c r="I8" s="3" t="s">
        <v>89</v>
      </c>
      <c r="J8" s="6" t="n">
        <v>4677.21</v>
      </c>
      <c r="K8" s="6"/>
      <c r="L8" s="4" t="s">
        <v>90</v>
      </c>
      <c r="M8" s="4" t="s">
        <v>91</v>
      </c>
      <c r="N8" s="3" t="s">
        <v>62</v>
      </c>
      <c r="O8" s="5" t="n">
        <v>46256</v>
      </c>
      <c r="P8" s="3"/>
      <c r="Q8" s="3"/>
      <c r="R8" s="4" t="s">
        <v>92</v>
      </c>
      <c r="S8" s="4" t="s">
        <v>47</v>
      </c>
      <c r="T8" s="4" t="s">
        <v>48</v>
      </c>
      <c r="U8" s="4" t="s">
        <v>93</v>
      </c>
    </row>
    <row r="9" customFormat="false" ht="109.5" hidden="false" customHeight="true" outlineLevel="0" collapsed="false">
      <c r="A9" s="3" t="s">
        <v>94</v>
      </c>
      <c r="B9" s="4" t="s">
        <v>70</v>
      </c>
      <c r="C9" s="3" t="n">
        <v>4</v>
      </c>
      <c r="D9" s="4" t="s">
        <v>95</v>
      </c>
      <c r="E9" s="4" t="s">
        <v>96</v>
      </c>
      <c r="F9" s="4" t="s">
        <v>97</v>
      </c>
      <c r="G9" s="3"/>
      <c r="H9" s="4" t="s">
        <v>59</v>
      </c>
      <c r="I9" s="3" t="s">
        <v>98</v>
      </c>
      <c r="J9" s="6" t="n">
        <v>3714.08</v>
      </c>
      <c r="K9" s="6"/>
      <c r="L9" s="4" t="s">
        <v>99</v>
      </c>
      <c r="M9" s="4" t="s">
        <v>100</v>
      </c>
      <c r="N9" s="3" t="s">
        <v>62</v>
      </c>
      <c r="O9" s="5" t="n">
        <v>46256</v>
      </c>
      <c r="P9" s="3"/>
      <c r="Q9" s="3"/>
      <c r="R9" s="4" t="s">
        <v>76</v>
      </c>
      <c r="S9" s="4" t="s">
        <v>47</v>
      </c>
      <c r="T9" s="4" t="s">
        <v>48</v>
      </c>
      <c r="U9" s="4" t="s">
        <v>101</v>
      </c>
    </row>
    <row r="10" customFormat="false" ht="109.5" hidden="false" customHeight="true" outlineLevel="0" collapsed="false">
      <c r="A10" s="3" t="s">
        <v>102</v>
      </c>
      <c r="B10" s="4" t="s">
        <v>70</v>
      </c>
      <c r="C10" s="3" t="n">
        <v>5</v>
      </c>
      <c r="D10" s="4" t="s">
        <v>103</v>
      </c>
      <c r="E10" s="4" t="s">
        <v>104</v>
      </c>
      <c r="F10" s="4" t="s">
        <v>105</v>
      </c>
      <c r="G10" s="3"/>
      <c r="H10" s="4" t="s">
        <v>41</v>
      </c>
      <c r="I10" s="3" t="s">
        <v>106</v>
      </c>
      <c r="J10" s="6" t="n">
        <v>8677.26</v>
      </c>
      <c r="K10" s="6"/>
      <c r="L10" s="4" t="s">
        <v>107</v>
      </c>
      <c r="M10" s="4" t="s">
        <v>108</v>
      </c>
      <c r="N10" s="3" t="s">
        <v>62</v>
      </c>
      <c r="O10" s="5" t="n">
        <v>46256</v>
      </c>
      <c r="P10" s="3"/>
      <c r="Q10" s="3"/>
      <c r="R10" s="4" t="s">
        <v>76</v>
      </c>
      <c r="S10" s="4" t="s">
        <v>47</v>
      </c>
      <c r="T10" s="4" t="s">
        <v>48</v>
      </c>
      <c r="U10" s="4" t="s">
        <v>109</v>
      </c>
    </row>
    <row r="11" customFormat="false" ht="109.5" hidden="false" customHeight="true" outlineLevel="0" collapsed="false">
      <c r="A11" s="3" t="s">
        <v>110</v>
      </c>
      <c r="B11" s="4" t="s">
        <v>70</v>
      </c>
      <c r="C11" s="3" t="n">
        <v>6</v>
      </c>
      <c r="D11" s="4" t="s">
        <v>111</v>
      </c>
      <c r="E11" s="4" t="s">
        <v>104</v>
      </c>
      <c r="F11" s="4" t="s">
        <v>112</v>
      </c>
      <c r="G11" s="3"/>
      <c r="H11" s="4" t="s">
        <v>59</v>
      </c>
      <c r="I11" s="3" t="s">
        <v>113</v>
      </c>
      <c r="J11" s="6" t="n">
        <v>1519.27</v>
      </c>
      <c r="K11" s="6"/>
      <c r="L11" s="4" t="s">
        <v>114</v>
      </c>
      <c r="M11" s="4" t="s">
        <v>115</v>
      </c>
      <c r="N11" s="3" t="s">
        <v>116</v>
      </c>
      <c r="O11" s="5" t="n">
        <v>46256</v>
      </c>
      <c r="P11" s="3"/>
      <c r="Q11" s="3"/>
      <c r="R11" s="4" t="s">
        <v>76</v>
      </c>
      <c r="S11" s="4" t="s">
        <v>47</v>
      </c>
      <c r="T11" s="4" t="s">
        <v>48</v>
      </c>
      <c r="U11" s="4" t="s">
        <v>117</v>
      </c>
    </row>
    <row r="12" customFormat="false" ht="109.5" hidden="false" customHeight="true" outlineLevel="0" collapsed="false">
      <c r="A12" s="3" t="s">
        <v>118</v>
      </c>
      <c r="B12" s="4" t="s">
        <v>70</v>
      </c>
      <c r="C12" s="3" t="n">
        <v>7</v>
      </c>
      <c r="D12" s="4" t="s">
        <v>119</v>
      </c>
      <c r="E12" s="4" t="s">
        <v>52</v>
      </c>
      <c r="F12" s="4" t="s">
        <v>120</v>
      </c>
      <c r="G12" s="3"/>
      <c r="H12" s="4" t="s">
        <v>41</v>
      </c>
      <c r="I12" s="3" t="s">
        <v>121</v>
      </c>
      <c r="J12" s="6" t="n">
        <v>9480.35</v>
      </c>
      <c r="K12" s="6"/>
      <c r="L12" s="4" t="s">
        <v>122</v>
      </c>
      <c r="M12" s="4" t="s">
        <v>123</v>
      </c>
      <c r="N12" s="3" t="s">
        <v>124</v>
      </c>
      <c r="O12" s="5" t="n">
        <v>46256</v>
      </c>
      <c r="P12" s="3"/>
      <c r="Q12" s="3"/>
      <c r="R12" s="4" t="s">
        <v>76</v>
      </c>
      <c r="S12" s="4" t="s">
        <v>47</v>
      </c>
      <c r="T12" s="4" t="s">
        <v>48</v>
      </c>
      <c r="U12" s="4" t="s">
        <v>125</v>
      </c>
    </row>
    <row r="13" customFormat="false" ht="109.5" hidden="false" customHeight="true" outlineLevel="0" collapsed="false">
      <c r="A13" s="3" t="s">
        <v>126</v>
      </c>
      <c r="B13" s="4" t="s">
        <v>70</v>
      </c>
      <c r="C13" s="3" t="n">
        <v>8</v>
      </c>
      <c r="D13" s="4" t="s">
        <v>127</v>
      </c>
      <c r="E13" s="4" t="s">
        <v>65</v>
      </c>
      <c r="F13" s="4" t="s">
        <v>128</v>
      </c>
      <c r="G13" s="3"/>
      <c r="H13" s="4" t="s">
        <v>59</v>
      </c>
      <c r="I13" s="3" t="s">
        <v>129</v>
      </c>
      <c r="J13" s="6" t="n">
        <v>5963.62</v>
      </c>
      <c r="K13" s="6"/>
      <c r="L13" s="4" t="s">
        <v>130</v>
      </c>
      <c r="M13" s="4" t="s">
        <v>131</v>
      </c>
      <c r="N13" s="3" t="s">
        <v>124</v>
      </c>
      <c r="O13" s="5" t="n">
        <v>46256</v>
      </c>
      <c r="P13" s="3"/>
      <c r="Q13" s="3"/>
      <c r="R13" s="4" t="s">
        <v>132</v>
      </c>
      <c r="S13" s="4" t="s">
        <v>47</v>
      </c>
      <c r="T13" s="4" t="s">
        <v>48</v>
      </c>
      <c r="U13" s="4" t="s">
        <v>133</v>
      </c>
    </row>
    <row r="14" customFormat="false" ht="109.5" hidden="false" customHeight="true" outlineLevel="0" collapsed="false">
      <c r="A14" s="3" t="s">
        <v>134</v>
      </c>
      <c r="B14" s="4" t="s">
        <v>70</v>
      </c>
      <c r="C14" s="3" t="n">
        <v>9</v>
      </c>
      <c r="D14" s="4" t="s">
        <v>135</v>
      </c>
      <c r="E14" s="4" t="s">
        <v>136</v>
      </c>
      <c r="F14" s="4" t="s">
        <v>137</v>
      </c>
      <c r="G14" s="3"/>
      <c r="H14" s="4" t="s">
        <v>41</v>
      </c>
      <c r="I14" s="3" t="s">
        <v>138</v>
      </c>
      <c r="J14" s="6" t="n">
        <v>4414.41</v>
      </c>
      <c r="K14" s="6"/>
      <c r="L14" s="4" t="s">
        <v>139</v>
      </c>
      <c r="M14" s="4" t="s">
        <v>140</v>
      </c>
      <c r="N14" s="3" t="s">
        <v>124</v>
      </c>
      <c r="O14" s="5" t="n">
        <v>46256</v>
      </c>
      <c r="P14" s="3"/>
      <c r="Q14" s="3"/>
      <c r="R14" s="4" t="s">
        <v>141</v>
      </c>
      <c r="S14" s="4" t="s">
        <v>47</v>
      </c>
      <c r="T14" s="4" t="s">
        <v>48</v>
      </c>
      <c r="U14" s="4" t="s">
        <v>142</v>
      </c>
    </row>
    <row r="15" customFormat="false" ht="109.5" hidden="false" customHeight="true" outlineLevel="0" collapsed="false">
      <c r="A15" s="3" t="s">
        <v>143</v>
      </c>
      <c r="B15" s="4" t="s">
        <v>70</v>
      </c>
      <c r="C15" s="3" t="n">
        <v>10</v>
      </c>
      <c r="D15" s="4" t="s">
        <v>144</v>
      </c>
      <c r="E15" s="4" t="s">
        <v>145</v>
      </c>
      <c r="F15" s="4" t="s">
        <v>146</v>
      </c>
      <c r="G15" s="3"/>
      <c r="H15" s="4" t="s">
        <v>59</v>
      </c>
      <c r="I15" s="3" t="s">
        <v>147</v>
      </c>
      <c r="J15" s="6" t="n">
        <v>13638.1</v>
      </c>
      <c r="K15" s="6"/>
      <c r="L15" s="4" t="s">
        <v>148</v>
      </c>
      <c r="M15" s="4" t="s">
        <v>149</v>
      </c>
      <c r="N15" s="3" t="s">
        <v>124</v>
      </c>
      <c r="O15" s="5" t="n">
        <v>46256</v>
      </c>
      <c r="P15" s="3"/>
      <c r="Q15" s="3"/>
      <c r="R15" s="4" t="s">
        <v>150</v>
      </c>
      <c r="S15" s="4" t="s">
        <v>47</v>
      </c>
      <c r="T15" s="4" t="s">
        <v>48</v>
      </c>
      <c r="U15" s="4" t="s">
        <v>151</v>
      </c>
    </row>
    <row r="16" customFormat="false" ht="109.5" hidden="false" customHeight="true" outlineLevel="0" collapsed="false">
      <c r="A16" s="3" t="s">
        <v>152</v>
      </c>
      <c r="B16" s="4" t="s">
        <v>70</v>
      </c>
      <c r="C16" s="3" t="n">
        <v>11</v>
      </c>
      <c r="D16" s="4" t="s">
        <v>153</v>
      </c>
      <c r="E16" s="4" t="s">
        <v>154</v>
      </c>
      <c r="F16" s="4" t="s">
        <v>155</v>
      </c>
      <c r="G16" s="3"/>
      <c r="H16" s="4" t="s">
        <v>156</v>
      </c>
      <c r="I16" s="3" t="s">
        <v>157</v>
      </c>
      <c r="J16" s="6" t="n">
        <v>1298.78</v>
      </c>
      <c r="K16" s="6"/>
      <c r="L16" s="4" t="s">
        <v>158</v>
      </c>
      <c r="M16" s="4" t="s">
        <v>159</v>
      </c>
      <c r="N16" s="3" t="s">
        <v>124</v>
      </c>
      <c r="O16" s="5" t="n">
        <v>46256</v>
      </c>
      <c r="P16" s="3"/>
      <c r="Q16" s="3"/>
      <c r="R16" s="4" t="s">
        <v>160</v>
      </c>
      <c r="S16" s="4" t="s">
        <v>47</v>
      </c>
      <c r="T16" s="4" t="s">
        <v>48</v>
      </c>
      <c r="U16" s="4" t="s">
        <v>161</v>
      </c>
    </row>
    <row r="17" customFormat="false" ht="109.5" hidden="false" customHeight="true" outlineLevel="0" collapsed="false">
      <c r="A17" s="3" t="s">
        <v>162</v>
      </c>
      <c r="B17" s="4" t="s">
        <v>70</v>
      </c>
      <c r="C17" s="3" t="n">
        <v>12</v>
      </c>
      <c r="D17" s="4" t="s">
        <v>163</v>
      </c>
      <c r="E17" s="4" t="s">
        <v>164</v>
      </c>
      <c r="F17" s="4" t="s">
        <v>165</v>
      </c>
      <c r="G17" s="4" t="s">
        <v>166</v>
      </c>
      <c r="H17" s="4" t="s">
        <v>41</v>
      </c>
      <c r="I17" s="3" t="s">
        <v>167</v>
      </c>
      <c r="J17" s="6" t="n">
        <v>3894.1</v>
      </c>
      <c r="K17" s="6" t="n">
        <v>5095.08</v>
      </c>
      <c r="L17" s="4" t="s">
        <v>168</v>
      </c>
      <c r="M17" s="4" t="s">
        <v>169</v>
      </c>
      <c r="N17" s="3" t="s">
        <v>170</v>
      </c>
      <c r="O17" s="5" t="n">
        <v>46256</v>
      </c>
      <c r="P17" s="3"/>
      <c r="Q17" s="3"/>
      <c r="R17" s="4" t="s">
        <v>171</v>
      </c>
      <c r="S17" s="4" t="s">
        <v>47</v>
      </c>
      <c r="T17" s="4" t="s">
        <v>48</v>
      </c>
      <c r="U17" s="4" t="s">
        <v>172</v>
      </c>
    </row>
    <row r="18" customFormat="false" ht="109.5" hidden="false" customHeight="true" outlineLevel="0" collapsed="false">
      <c r="A18" s="3" t="s">
        <v>173</v>
      </c>
      <c r="B18" s="4" t="s">
        <v>70</v>
      </c>
      <c r="C18" s="3" t="n">
        <v>13</v>
      </c>
      <c r="D18" s="4" t="s">
        <v>174</v>
      </c>
      <c r="E18" s="4" t="s">
        <v>52</v>
      </c>
      <c r="F18" s="4" t="s">
        <v>175</v>
      </c>
      <c r="G18" s="3"/>
      <c r="H18" s="4" t="s">
        <v>41</v>
      </c>
      <c r="I18" s="3" t="s">
        <v>176</v>
      </c>
      <c r="J18" s="6" t="n">
        <v>3255.91</v>
      </c>
      <c r="K18" s="6"/>
      <c r="L18" s="4" t="s">
        <v>177</v>
      </c>
      <c r="M18" s="4" t="s">
        <v>178</v>
      </c>
      <c r="N18" s="3" t="s">
        <v>179</v>
      </c>
      <c r="O18" s="5" t="n">
        <v>46256</v>
      </c>
      <c r="P18" s="3"/>
      <c r="Q18" s="3"/>
      <c r="R18" s="4" t="s">
        <v>160</v>
      </c>
      <c r="S18" s="4" t="s">
        <v>47</v>
      </c>
      <c r="T18" s="4" t="s">
        <v>48</v>
      </c>
      <c r="U18" s="4" t="s">
        <v>180</v>
      </c>
    </row>
    <row r="19" customFormat="false" ht="109.5" hidden="false" customHeight="true" outlineLevel="0" collapsed="false">
      <c r="A19" s="3" t="s">
        <v>181</v>
      </c>
      <c r="B19" s="4" t="s">
        <v>70</v>
      </c>
      <c r="C19" s="3" t="n">
        <v>14</v>
      </c>
      <c r="D19" s="4" t="s">
        <v>182</v>
      </c>
      <c r="E19" s="4" t="s">
        <v>183</v>
      </c>
      <c r="F19" s="4" t="s">
        <v>184</v>
      </c>
      <c r="G19" s="3"/>
      <c r="H19" s="4" t="s">
        <v>156</v>
      </c>
      <c r="I19" s="3" t="s">
        <v>185</v>
      </c>
      <c r="J19" s="6" t="n">
        <v>6567.27</v>
      </c>
      <c r="K19" s="6"/>
      <c r="L19" s="4" t="s">
        <v>186</v>
      </c>
      <c r="M19" s="4" t="s">
        <v>187</v>
      </c>
      <c r="N19" s="3" t="s">
        <v>179</v>
      </c>
      <c r="O19" s="5" t="n">
        <v>46256</v>
      </c>
      <c r="P19" s="3"/>
      <c r="Q19" s="3"/>
      <c r="R19" s="4" t="s">
        <v>188</v>
      </c>
      <c r="S19" s="4" t="s">
        <v>47</v>
      </c>
      <c r="T19" s="4" t="s">
        <v>48</v>
      </c>
      <c r="U19" s="4" t="s">
        <v>189</v>
      </c>
    </row>
    <row r="20" customFormat="false" ht="109.5" hidden="false" customHeight="true" outlineLevel="0" collapsed="false">
      <c r="A20" s="3" t="s">
        <v>190</v>
      </c>
      <c r="B20" s="4" t="s">
        <v>70</v>
      </c>
      <c r="C20" s="3" t="n">
        <v>15</v>
      </c>
      <c r="D20" s="4" t="s">
        <v>191</v>
      </c>
      <c r="E20" s="4" t="s">
        <v>96</v>
      </c>
      <c r="F20" s="4" t="s">
        <v>192</v>
      </c>
      <c r="G20" s="3"/>
      <c r="H20" s="4" t="s">
        <v>59</v>
      </c>
      <c r="I20" s="3" t="s">
        <v>193</v>
      </c>
      <c r="J20" s="6" t="n">
        <v>13386.29</v>
      </c>
      <c r="K20" s="6"/>
      <c r="L20" s="4" t="s">
        <v>107</v>
      </c>
      <c r="M20" s="4" t="s">
        <v>194</v>
      </c>
      <c r="N20" s="3" t="s">
        <v>179</v>
      </c>
      <c r="O20" s="5" t="n">
        <v>46256</v>
      </c>
      <c r="P20" s="3"/>
      <c r="Q20" s="3"/>
      <c r="R20" s="4" t="s">
        <v>160</v>
      </c>
      <c r="S20" s="4" t="s">
        <v>47</v>
      </c>
      <c r="T20" s="4" t="s">
        <v>48</v>
      </c>
      <c r="U20" s="4" t="s">
        <v>195</v>
      </c>
    </row>
    <row r="21" customFormat="false" ht="109.5" hidden="false" customHeight="true" outlineLevel="0" collapsed="false">
      <c r="A21" s="3" t="s">
        <v>196</v>
      </c>
      <c r="B21" s="4" t="s">
        <v>70</v>
      </c>
      <c r="C21" s="3" t="n">
        <v>16</v>
      </c>
      <c r="D21" s="4" t="s">
        <v>197</v>
      </c>
      <c r="E21" s="4" t="s">
        <v>164</v>
      </c>
      <c r="F21" s="4" t="s">
        <v>198</v>
      </c>
      <c r="G21" s="3"/>
      <c r="H21" s="4" t="s">
        <v>199</v>
      </c>
      <c r="I21" s="3" t="s">
        <v>200</v>
      </c>
      <c r="J21" s="6" t="n">
        <v>58164.15</v>
      </c>
      <c r="K21" s="6"/>
      <c r="L21" s="4" t="s">
        <v>201</v>
      </c>
      <c r="M21" s="4" t="s">
        <v>202</v>
      </c>
      <c r="N21" s="3" t="s">
        <v>179</v>
      </c>
      <c r="O21" s="5" t="n">
        <v>46256</v>
      </c>
      <c r="P21" s="3"/>
      <c r="Q21" s="3"/>
      <c r="R21" s="4" t="s">
        <v>203</v>
      </c>
      <c r="S21" s="4" t="s">
        <v>47</v>
      </c>
      <c r="T21" s="4" t="s">
        <v>48</v>
      </c>
      <c r="U21" s="4" t="s">
        <v>204</v>
      </c>
    </row>
    <row r="22" customFormat="false" ht="109.5" hidden="false" customHeight="true" outlineLevel="0" collapsed="false">
      <c r="A22" s="3" t="s">
        <v>205</v>
      </c>
      <c r="B22" s="4" t="s">
        <v>70</v>
      </c>
      <c r="C22" s="3" t="n">
        <v>17</v>
      </c>
      <c r="D22" s="4" t="s">
        <v>206</v>
      </c>
      <c r="E22" s="4" t="s">
        <v>207</v>
      </c>
      <c r="F22" s="4" t="s">
        <v>208</v>
      </c>
      <c r="G22" s="3"/>
      <c r="H22" s="4" t="s">
        <v>59</v>
      </c>
      <c r="I22" s="3" t="s">
        <v>209</v>
      </c>
      <c r="J22" s="6" t="n">
        <v>24043.97</v>
      </c>
      <c r="K22" s="6"/>
      <c r="L22" s="4" t="s">
        <v>210</v>
      </c>
      <c r="M22" s="4" t="s">
        <v>211</v>
      </c>
      <c r="N22" s="3" t="s">
        <v>179</v>
      </c>
      <c r="O22" s="5" t="n">
        <v>46256</v>
      </c>
      <c r="P22" s="3"/>
      <c r="Q22" s="3"/>
      <c r="R22" s="4" t="s">
        <v>160</v>
      </c>
      <c r="S22" s="4" t="s">
        <v>47</v>
      </c>
      <c r="T22" s="4" t="s">
        <v>48</v>
      </c>
      <c r="U22" s="4" t="s">
        <v>212</v>
      </c>
    </row>
    <row r="23" customFormat="false" ht="109.5" hidden="false" customHeight="true" outlineLevel="0" collapsed="false">
      <c r="A23" s="3" t="s">
        <v>213</v>
      </c>
      <c r="B23" s="4" t="s">
        <v>70</v>
      </c>
      <c r="C23" s="3" t="n">
        <v>18</v>
      </c>
      <c r="D23" s="4" t="s">
        <v>214</v>
      </c>
      <c r="E23" s="4" t="s">
        <v>215</v>
      </c>
      <c r="F23" s="4" t="s">
        <v>216</v>
      </c>
      <c r="G23" s="3"/>
      <c r="H23" s="4" t="s">
        <v>59</v>
      </c>
      <c r="I23" s="3" t="s">
        <v>217</v>
      </c>
      <c r="J23" s="6" t="n">
        <v>1677.17</v>
      </c>
      <c r="K23" s="6"/>
      <c r="L23" s="4" t="s">
        <v>107</v>
      </c>
      <c r="M23" s="4" t="s">
        <v>218</v>
      </c>
      <c r="N23" s="3" t="s">
        <v>179</v>
      </c>
      <c r="O23" s="5" t="n">
        <v>46256</v>
      </c>
      <c r="P23" s="3"/>
      <c r="Q23" s="3"/>
      <c r="R23" s="4" t="s">
        <v>219</v>
      </c>
      <c r="S23" s="4" t="s">
        <v>47</v>
      </c>
      <c r="T23" s="4" t="s">
        <v>48</v>
      </c>
      <c r="U23" s="4" t="s">
        <v>220</v>
      </c>
    </row>
    <row r="24" customFormat="false" ht="109.5" hidden="false" customHeight="true" outlineLevel="0" collapsed="false">
      <c r="A24" s="3" t="s">
        <v>221</v>
      </c>
      <c r="B24" s="4" t="s">
        <v>70</v>
      </c>
      <c r="C24" s="3" t="n">
        <v>19</v>
      </c>
      <c r="D24" s="4" t="s">
        <v>222</v>
      </c>
      <c r="E24" s="4" t="s">
        <v>145</v>
      </c>
      <c r="F24" s="4" t="s">
        <v>223</v>
      </c>
      <c r="G24" s="3"/>
      <c r="H24" s="4" t="s">
        <v>59</v>
      </c>
      <c r="I24" s="3" t="s">
        <v>224</v>
      </c>
      <c r="J24" s="6" t="n">
        <v>6478.03</v>
      </c>
      <c r="K24" s="6"/>
      <c r="L24" s="4" t="s">
        <v>225</v>
      </c>
      <c r="M24" s="4" t="s">
        <v>226</v>
      </c>
      <c r="N24" s="3" t="s">
        <v>227</v>
      </c>
      <c r="O24" s="5" t="n">
        <v>46256</v>
      </c>
      <c r="P24" s="3"/>
      <c r="Q24" s="3"/>
      <c r="R24" s="4" t="s">
        <v>228</v>
      </c>
      <c r="S24" s="4" t="s">
        <v>47</v>
      </c>
      <c r="T24" s="4" t="s">
        <v>48</v>
      </c>
      <c r="U24" s="4" t="s">
        <v>229</v>
      </c>
    </row>
  </sheetData>
  <autoFilter ref="A1:U24"/>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5" min="1" style="0" width="27"/>
  </cols>
  <sheetData>
    <row r="1" customFormat="false" ht="15" hidden="false" customHeight="false" outlineLevel="0" collapsed="false">
      <c r="A1" s="1" t="s">
        <v>230</v>
      </c>
      <c r="B1" s="1" t="s">
        <v>231</v>
      </c>
      <c r="C1" s="1" t="s">
        <v>232</v>
      </c>
      <c r="D1" s="1" t="s">
        <v>233</v>
      </c>
      <c r="E1" s="1" t="s">
        <v>8</v>
      </c>
    </row>
    <row r="2" customFormat="false" ht="64.5" hidden="false" customHeight="true" outlineLevel="0" collapsed="false">
      <c r="A2" s="4" t="s">
        <v>234</v>
      </c>
      <c r="B2" s="6" t="n">
        <f aca="false">SUM(案件登记!J2:J5)</f>
        <v>67837.86</v>
      </c>
      <c r="C2" s="3" t="s">
        <v>235</v>
      </c>
      <c r="D2" s="4" t="s">
        <v>236</v>
      </c>
      <c r="E2" s="4" t="s">
        <v>48</v>
      </c>
    </row>
    <row r="3" customFormat="false" ht="64.5" hidden="false" customHeight="true" outlineLevel="0" collapsed="false">
      <c r="A3" s="4" t="s">
        <v>237</v>
      </c>
      <c r="B3" s="6" t="n">
        <f aca="false">SUM(案件登记!J6:J24)</f>
        <v>175052.88</v>
      </c>
      <c r="C3" s="3" t="s">
        <v>238</v>
      </c>
      <c r="D3" s="4" t="s">
        <v>239</v>
      </c>
      <c r="E3" s="4" t="s">
        <v>48</v>
      </c>
    </row>
    <row r="4" customFormat="false" ht="64.5" hidden="false" customHeight="true" outlineLevel="0" collapsed="false">
      <c r="A4" s="4" t="s">
        <v>240</v>
      </c>
      <c r="B4" s="6" t="n">
        <f aca="false">SUM(案件登记!K6:K24)</f>
        <v>5095.08</v>
      </c>
      <c r="C4" s="3" t="s">
        <v>241</v>
      </c>
      <c r="D4" s="4" t="s">
        <v>242</v>
      </c>
      <c r="E4" s="4" t="s">
        <v>48</v>
      </c>
    </row>
    <row r="5" customFormat="false" ht="64.5" hidden="false" customHeight="true" outlineLevel="0" collapsed="false">
      <c r="A5" s="4" t="s">
        <v>243</v>
      </c>
      <c r="B5" s="6" t="n">
        <f aca="false">B3+B4</f>
        <v>180147.96</v>
      </c>
      <c r="C5" s="3" t="s">
        <v>238</v>
      </c>
      <c r="D5" s="4" t="s">
        <v>244</v>
      </c>
      <c r="E5" s="4" t="s">
        <v>48</v>
      </c>
    </row>
    <row r="6" customFormat="false" ht="64.5" hidden="false" customHeight="true" outlineLevel="0" collapsed="false">
      <c r="A6" s="4" t="s">
        <v>245</v>
      </c>
      <c r="B6" s="6" t="n">
        <v>67800</v>
      </c>
      <c r="C6" s="3" t="s">
        <v>45</v>
      </c>
      <c r="D6" s="4" t="s">
        <v>246</v>
      </c>
      <c r="E6" s="4" t="s">
        <v>48</v>
      </c>
    </row>
    <row r="7" customFormat="false" ht="64.5" hidden="false" customHeight="true" outlineLevel="0" collapsed="false">
      <c r="A7" s="4" t="s">
        <v>247</v>
      </c>
      <c r="B7" s="6" t="n">
        <f aca="false">B2-B6</f>
        <v>37.8600000000006</v>
      </c>
      <c r="C7" s="3" t="s">
        <v>235</v>
      </c>
      <c r="D7" s="4" t="s">
        <v>248</v>
      </c>
      <c r="E7" s="4" t="s">
        <v>48</v>
      </c>
    </row>
    <row r="8" customFormat="false" ht="64.5" hidden="false" customHeight="true" outlineLevel="0" collapsed="false">
      <c r="A8" s="4" t="s">
        <v>249</v>
      </c>
      <c r="B8" s="6" t="n">
        <f aca="false">ROUND(B2/10000,2)</f>
        <v>6.78</v>
      </c>
      <c r="C8" s="3" t="s">
        <v>235</v>
      </c>
      <c r="D8" s="4" t="s">
        <v>250</v>
      </c>
      <c r="E8" s="4" t="s">
        <v>48</v>
      </c>
    </row>
    <row r="9" customFormat="false" ht="64.5" hidden="false" customHeight="true" outlineLevel="0" collapsed="false">
      <c r="A9" s="4" t="s">
        <v>251</v>
      </c>
      <c r="B9" s="6" t="n">
        <v>204.62</v>
      </c>
      <c r="C9" s="3" t="s">
        <v>252</v>
      </c>
      <c r="D9" s="4" t="s">
        <v>253</v>
      </c>
      <c r="E9" s="4" t="s">
        <v>48</v>
      </c>
    </row>
    <row r="10" customFormat="false" ht="64.5" hidden="false" customHeight="true" outlineLevel="0" collapsed="false">
      <c r="A10" s="4" t="s">
        <v>254</v>
      </c>
      <c r="B10" s="6" t="n">
        <f aca="false">B9</f>
        <v>204.62</v>
      </c>
      <c r="C10" s="3" t="s">
        <v>252</v>
      </c>
      <c r="D10" s="4" t="s">
        <v>255</v>
      </c>
      <c r="E10" s="4" t="s">
        <v>48</v>
      </c>
    </row>
    <row r="11" customFormat="false" ht="64.5" hidden="false" customHeight="true" outlineLevel="0" collapsed="false">
      <c r="A11" s="4" t="s">
        <v>256</v>
      </c>
      <c r="B11" s="6"/>
      <c r="C11" s="3" t="s">
        <v>252</v>
      </c>
      <c r="D11" s="4" t="s">
        <v>257</v>
      </c>
      <c r="E11" s="4" t="s">
        <v>48</v>
      </c>
    </row>
  </sheetData>
  <autoFilter ref="A1:E1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9" min="1" style="0" width="27"/>
  </cols>
  <sheetData>
    <row r="1" customFormat="false" ht="15" hidden="false" customHeight="false" outlineLevel="0" collapsed="false">
      <c r="A1" s="1" t="s">
        <v>18</v>
      </c>
      <c r="B1" s="1" t="s">
        <v>258</v>
      </c>
      <c r="C1" s="1" t="s">
        <v>259</v>
      </c>
      <c r="D1" s="1" t="s">
        <v>32</v>
      </c>
      <c r="E1" s="1" t="s">
        <v>3</v>
      </c>
      <c r="F1" s="1" t="s">
        <v>33</v>
      </c>
      <c r="G1" s="1" t="s">
        <v>232</v>
      </c>
      <c r="H1" s="1" t="s">
        <v>7</v>
      </c>
      <c r="I1" s="1" t="s">
        <v>8</v>
      </c>
    </row>
    <row r="2" customFormat="false" ht="64.5" hidden="false" customHeight="true" outlineLevel="0" collapsed="false">
      <c r="A2" s="3" t="s">
        <v>36</v>
      </c>
      <c r="B2" s="3" t="n">
        <v>1</v>
      </c>
      <c r="C2" s="4" t="s">
        <v>260</v>
      </c>
      <c r="D2" s="3"/>
      <c r="E2" s="5" t="n">
        <v>46256</v>
      </c>
      <c r="F2" s="3"/>
      <c r="G2" s="3" t="s">
        <v>45</v>
      </c>
      <c r="H2" s="4" t="s">
        <v>261</v>
      </c>
      <c r="I2" s="4" t="s">
        <v>48</v>
      </c>
    </row>
    <row r="3" customFormat="false" ht="64.5" hidden="false" customHeight="true" outlineLevel="0" collapsed="false">
      <c r="A3" s="3" t="s">
        <v>50</v>
      </c>
      <c r="B3" s="3" t="n">
        <v>1</v>
      </c>
      <c r="C3" s="4" t="s">
        <v>260</v>
      </c>
      <c r="D3" s="3"/>
      <c r="E3" s="5" t="n">
        <v>46256</v>
      </c>
      <c r="F3" s="3"/>
      <c r="G3" s="3" t="s">
        <v>45</v>
      </c>
      <c r="H3" s="4" t="s">
        <v>261</v>
      </c>
      <c r="I3" s="4" t="s">
        <v>48</v>
      </c>
    </row>
    <row r="4" customFormat="false" ht="64.5" hidden="false" customHeight="true" outlineLevel="0" collapsed="false">
      <c r="A4" s="3" t="s">
        <v>56</v>
      </c>
      <c r="B4" s="3" t="n">
        <v>1</v>
      </c>
      <c r="C4" s="4" t="s">
        <v>260</v>
      </c>
      <c r="D4" s="3"/>
      <c r="E4" s="5" t="n">
        <v>46256</v>
      </c>
      <c r="F4" s="3"/>
      <c r="G4" s="3" t="s">
        <v>62</v>
      </c>
      <c r="H4" s="4" t="s">
        <v>261</v>
      </c>
      <c r="I4" s="4" t="s">
        <v>48</v>
      </c>
    </row>
    <row r="5" customFormat="false" ht="64.5" hidden="false" customHeight="true" outlineLevel="0" collapsed="false">
      <c r="A5" s="3" t="s">
        <v>63</v>
      </c>
      <c r="B5" s="3" t="n">
        <v>1</v>
      </c>
      <c r="C5" s="4" t="s">
        <v>260</v>
      </c>
      <c r="D5" s="3"/>
      <c r="E5" s="5" t="n">
        <v>46256</v>
      </c>
      <c r="F5" s="3"/>
      <c r="G5" s="3" t="s">
        <v>62</v>
      </c>
      <c r="H5" s="4" t="s">
        <v>261</v>
      </c>
      <c r="I5" s="4" t="s">
        <v>48</v>
      </c>
    </row>
    <row r="6" customFormat="false" ht="64.5" hidden="false" customHeight="true" outlineLevel="0" collapsed="false">
      <c r="A6" s="3" t="s">
        <v>69</v>
      </c>
      <c r="B6" s="3" t="n">
        <v>1</v>
      </c>
      <c r="C6" s="4" t="s">
        <v>262</v>
      </c>
      <c r="D6" s="3"/>
      <c r="E6" s="5" t="n">
        <v>46256</v>
      </c>
      <c r="F6" s="3"/>
      <c r="G6" s="3" t="s">
        <v>62</v>
      </c>
      <c r="H6" s="4" t="s">
        <v>261</v>
      </c>
      <c r="I6" s="4" t="s">
        <v>48</v>
      </c>
    </row>
    <row r="7" customFormat="false" ht="64.5" hidden="false" customHeight="true" outlineLevel="0" collapsed="false">
      <c r="A7" s="3" t="s">
        <v>69</v>
      </c>
      <c r="B7" s="3" t="n">
        <v>2</v>
      </c>
      <c r="C7" s="4" t="s">
        <v>263</v>
      </c>
      <c r="D7" s="3"/>
      <c r="E7" s="5" t="n">
        <v>46256</v>
      </c>
      <c r="F7" s="3"/>
      <c r="G7" s="3" t="s">
        <v>62</v>
      </c>
      <c r="H7" s="4" t="s">
        <v>261</v>
      </c>
      <c r="I7" s="4" t="s">
        <v>48</v>
      </c>
    </row>
    <row r="8" customFormat="false" ht="64.5" hidden="false" customHeight="true" outlineLevel="0" collapsed="false">
      <c r="A8" s="3" t="s">
        <v>69</v>
      </c>
      <c r="B8" s="3" t="n">
        <v>3</v>
      </c>
      <c r="C8" s="4" t="s">
        <v>264</v>
      </c>
      <c r="D8" s="3"/>
      <c r="E8" s="5" t="n">
        <v>46256</v>
      </c>
      <c r="F8" s="3"/>
      <c r="G8" s="3" t="s">
        <v>62</v>
      </c>
      <c r="H8" s="4" t="s">
        <v>261</v>
      </c>
      <c r="I8" s="4" t="s">
        <v>48</v>
      </c>
    </row>
    <row r="9" customFormat="false" ht="64.5" hidden="false" customHeight="true" outlineLevel="0" collapsed="false">
      <c r="A9" s="3" t="s">
        <v>78</v>
      </c>
      <c r="B9" s="3" t="n">
        <v>1</v>
      </c>
      <c r="C9" s="4" t="s">
        <v>265</v>
      </c>
      <c r="D9" s="3"/>
      <c r="E9" s="5" t="n">
        <v>46256</v>
      </c>
      <c r="F9" s="3"/>
      <c r="G9" s="3" t="s">
        <v>62</v>
      </c>
      <c r="H9" s="4" t="s">
        <v>261</v>
      </c>
      <c r="I9" s="4" t="s">
        <v>48</v>
      </c>
    </row>
    <row r="10" customFormat="false" ht="64.5" hidden="false" customHeight="true" outlineLevel="0" collapsed="false">
      <c r="A10" s="3" t="s">
        <v>78</v>
      </c>
      <c r="B10" s="3" t="n">
        <v>2</v>
      </c>
      <c r="C10" s="4" t="s">
        <v>263</v>
      </c>
      <c r="D10" s="3"/>
      <c r="E10" s="5" t="n">
        <v>46256</v>
      </c>
      <c r="F10" s="3"/>
      <c r="G10" s="3" t="s">
        <v>62</v>
      </c>
      <c r="H10" s="4" t="s">
        <v>261</v>
      </c>
      <c r="I10" s="4" t="s">
        <v>48</v>
      </c>
    </row>
    <row r="11" customFormat="false" ht="64.5" hidden="false" customHeight="true" outlineLevel="0" collapsed="false">
      <c r="A11" s="3" t="s">
        <v>78</v>
      </c>
      <c r="B11" s="3" t="n">
        <v>3</v>
      </c>
      <c r="C11" s="4" t="s">
        <v>264</v>
      </c>
      <c r="D11" s="3"/>
      <c r="E11" s="5" t="n">
        <v>46256</v>
      </c>
      <c r="F11" s="3"/>
      <c r="G11" s="3" t="s">
        <v>62</v>
      </c>
      <c r="H11" s="4" t="s">
        <v>261</v>
      </c>
      <c r="I11" s="4" t="s">
        <v>48</v>
      </c>
    </row>
    <row r="12" customFormat="false" ht="64.5" hidden="false" customHeight="true" outlineLevel="0" collapsed="false">
      <c r="A12" s="3" t="s">
        <v>84</v>
      </c>
      <c r="B12" s="3" t="n">
        <v>1</v>
      </c>
      <c r="C12" s="4" t="s">
        <v>266</v>
      </c>
      <c r="D12" s="3"/>
      <c r="E12" s="5" t="n">
        <v>46256</v>
      </c>
      <c r="F12" s="3"/>
      <c r="G12" s="3" t="s">
        <v>62</v>
      </c>
      <c r="H12" s="4" t="s">
        <v>261</v>
      </c>
      <c r="I12" s="4" t="s">
        <v>48</v>
      </c>
    </row>
    <row r="13" customFormat="false" ht="64.5" hidden="false" customHeight="true" outlineLevel="0" collapsed="false">
      <c r="A13" s="3" t="s">
        <v>84</v>
      </c>
      <c r="B13" s="3" t="n">
        <v>2</v>
      </c>
      <c r="C13" s="4" t="s">
        <v>267</v>
      </c>
      <c r="D13" s="3"/>
      <c r="E13" s="5" t="n">
        <v>46256</v>
      </c>
      <c r="F13" s="3"/>
      <c r="G13" s="3" t="s">
        <v>62</v>
      </c>
      <c r="H13" s="4" t="s">
        <v>261</v>
      </c>
      <c r="I13" s="4" t="s">
        <v>48</v>
      </c>
    </row>
    <row r="14" customFormat="false" ht="64.5" hidden="false" customHeight="true" outlineLevel="0" collapsed="false">
      <c r="A14" s="3" t="s">
        <v>84</v>
      </c>
      <c r="B14" s="3" t="n">
        <v>3</v>
      </c>
      <c r="C14" s="4" t="s">
        <v>268</v>
      </c>
      <c r="D14" s="3"/>
      <c r="E14" s="5" t="n">
        <v>46256</v>
      </c>
      <c r="F14" s="3"/>
      <c r="G14" s="3" t="s">
        <v>62</v>
      </c>
      <c r="H14" s="4" t="s">
        <v>261</v>
      </c>
      <c r="I14" s="4" t="s">
        <v>48</v>
      </c>
    </row>
    <row r="15" customFormat="false" ht="64.5" hidden="false" customHeight="true" outlineLevel="0" collapsed="false">
      <c r="A15" s="3" t="s">
        <v>94</v>
      </c>
      <c r="B15" s="3" t="n">
        <v>1</v>
      </c>
      <c r="C15" s="4" t="s">
        <v>269</v>
      </c>
      <c r="D15" s="3"/>
      <c r="E15" s="5" t="n">
        <v>46256</v>
      </c>
      <c r="F15" s="3"/>
      <c r="G15" s="3" t="s">
        <v>62</v>
      </c>
      <c r="H15" s="4" t="s">
        <v>261</v>
      </c>
      <c r="I15" s="4" t="s">
        <v>48</v>
      </c>
    </row>
    <row r="16" customFormat="false" ht="64.5" hidden="false" customHeight="true" outlineLevel="0" collapsed="false">
      <c r="A16" s="3" t="s">
        <v>94</v>
      </c>
      <c r="B16" s="3" t="n">
        <v>2</v>
      </c>
      <c r="C16" s="4" t="s">
        <v>264</v>
      </c>
      <c r="D16" s="3"/>
      <c r="E16" s="5" t="n">
        <v>46256</v>
      </c>
      <c r="F16" s="3"/>
      <c r="G16" s="3" t="s">
        <v>62</v>
      </c>
      <c r="H16" s="4" t="s">
        <v>261</v>
      </c>
      <c r="I16" s="4" t="s">
        <v>48</v>
      </c>
    </row>
    <row r="17" customFormat="false" ht="64.5" hidden="false" customHeight="true" outlineLevel="0" collapsed="false">
      <c r="A17" s="3" t="s">
        <v>102</v>
      </c>
      <c r="B17" s="3" t="n">
        <v>1</v>
      </c>
      <c r="C17" s="4" t="s">
        <v>270</v>
      </c>
      <c r="D17" s="3"/>
      <c r="E17" s="5" t="n">
        <v>46256</v>
      </c>
      <c r="F17" s="3"/>
      <c r="G17" s="3" t="s">
        <v>62</v>
      </c>
      <c r="H17" s="4" t="s">
        <v>261</v>
      </c>
      <c r="I17" s="4" t="s">
        <v>48</v>
      </c>
    </row>
    <row r="18" customFormat="false" ht="64.5" hidden="false" customHeight="true" outlineLevel="0" collapsed="false">
      <c r="A18" s="3" t="s">
        <v>102</v>
      </c>
      <c r="B18" s="3" t="n">
        <v>2</v>
      </c>
      <c r="C18" s="4" t="s">
        <v>264</v>
      </c>
      <c r="D18" s="3"/>
      <c r="E18" s="5" t="n">
        <v>46256</v>
      </c>
      <c r="F18" s="3"/>
      <c r="G18" s="3" t="s">
        <v>62</v>
      </c>
      <c r="H18" s="4" t="s">
        <v>261</v>
      </c>
      <c r="I18" s="4" t="s">
        <v>48</v>
      </c>
    </row>
    <row r="19" customFormat="false" ht="64.5" hidden="false" customHeight="true" outlineLevel="0" collapsed="false">
      <c r="A19" s="3" t="s">
        <v>110</v>
      </c>
      <c r="B19" s="3" t="n">
        <v>1</v>
      </c>
      <c r="C19" s="4" t="s">
        <v>271</v>
      </c>
      <c r="D19" s="3"/>
      <c r="E19" s="5" t="n">
        <v>46256</v>
      </c>
      <c r="F19" s="3"/>
      <c r="G19" s="3" t="s">
        <v>116</v>
      </c>
      <c r="H19" s="4" t="s">
        <v>261</v>
      </c>
      <c r="I19" s="4" t="s">
        <v>48</v>
      </c>
    </row>
    <row r="20" customFormat="false" ht="64.5" hidden="false" customHeight="true" outlineLevel="0" collapsed="false">
      <c r="A20" s="3" t="s">
        <v>110</v>
      </c>
      <c r="B20" s="3" t="n">
        <v>2</v>
      </c>
      <c r="C20" s="4" t="s">
        <v>264</v>
      </c>
      <c r="D20" s="3"/>
      <c r="E20" s="5" t="n">
        <v>46256</v>
      </c>
      <c r="F20" s="3"/>
      <c r="G20" s="3" t="s">
        <v>116</v>
      </c>
      <c r="H20" s="4" t="s">
        <v>261</v>
      </c>
      <c r="I20" s="4" t="s">
        <v>48</v>
      </c>
    </row>
    <row r="21" customFormat="false" ht="64.5" hidden="false" customHeight="true" outlineLevel="0" collapsed="false">
      <c r="A21" s="3" t="s">
        <v>118</v>
      </c>
      <c r="B21" s="3" t="n">
        <v>1</v>
      </c>
      <c r="C21" s="4" t="s">
        <v>272</v>
      </c>
      <c r="D21" s="3"/>
      <c r="E21" s="5" t="n">
        <v>46256</v>
      </c>
      <c r="F21" s="3"/>
      <c r="G21" s="3" t="s">
        <v>124</v>
      </c>
      <c r="H21" s="4" t="s">
        <v>261</v>
      </c>
      <c r="I21" s="4" t="s">
        <v>48</v>
      </c>
    </row>
    <row r="22" customFormat="false" ht="64.5" hidden="false" customHeight="true" outlineLevel="0" collapsed="false">
      <c r="A22" s="3" t="s">
        <v>118</v>
      </c>
      <c r="B22" s="3" t="n">
        <v>2</v>
      </c>
      <c r="C22" s="4" t="s">
        <v>273</v>
      </c>
      <c r="D22" s="3"/>
      <c r="E22" s="5" t="n">
        <v>46256</v>
      </c>
      <c r="F22" s="3"/>
      <c r="G22" s="3" t="s">
        <v>124</v>
      </c>
      <c r="H22" s="4" t="s">
        <v>261</v>
      </c>
      <c r="I22" s="4" t="s">
        <v>48</v>
      </c>
    </row>
    <row r="23" customFormat="false" ht="64.5" hidden="false" customHeight="true" outlineLevel="0" collapsed="false">
      <c r="A23" s="3" t="s">
        <v>118</v>
      </c>
      <c r="B23" s="3" t="n">
        <v>3</v>
      </c>
      <c r="C23" s="4" t="s">
        <v>274</v>
      </c>
      <c r="D23" s="3"/>
      <c r="E23" s="5" t="n">
        <v>46256</v>
      </c>
      <c r="F23" s="3"/>
      <c r="G23" s="3" t="s">
        <v>124</v>
      </c>
      <c r="H23" s="4" t="s">
        <v>261</v>
      </c>
      <c r="I23" s="4" t="s">
        <v>48</v>
      </c>
    </row>
    <row r="24" customFormat="false" ht="64.5" hidden="false" customHeight="true" outlineLevel="0" collapsed="false">
      <c r="A24" s="3" t="s">
        <v>126</v>
      </c>
      <c r="B24" s="3" t="n">
        <v>1</v>
      </c>
      <c r="C24" s="4" t="s">
        <v>275</v>
      </c>
      <c r="D24" s="3"/>
      <c r="E24" s="5" t="n">
        <v>46256</v>
      </c>
      <c r="F24" s="3"/>
      <c r="G24" s="3" t="s">
        <v>124</v>
      </c>
      <c r="H24" s="4" t="s">
        <v>261</v>
      </c>
      <c r="I24" s="4" t="s">
        <v>48</v>
      </c>
    </row>
    <row r="25" customFormat="false" ht="64.5" hidden="false" customHeight="true" outlineLevel="0" collapsed="false">
      <c r="A25" s="3" t="s">
        <v>126</v>
      </c>
      <c r="B25" s="3" t="n">
        <v>2</v>
      </c>
      <c r="C25" s="4" t="s">
        <v>276</v>
      </c>
      <c r="D25" s="3"/>
      <c r="E25" s="5" t="n">
        <v>46256</v>
      </c>
      <c r="F25" s="3"/>
      <c r="G25" s="3" t="s">
        <v>124</v>
      </c>
      <c r="H25" s="4" t="s">
        <v>261</v>
      </c>
      <c r="I25" s="4" t="s">
        <v>48</v>
      </c>
    </row>
    <row r="26" customFormat="false" ht="64.5" hidden="false" customHeight="true" outlineLevel="0" collapsed="false">
      <c r="A26" s="3" t="s">
        <v>134</v>
      </c>
      <c r="B26" s="3" t="n">
        <v>1</v>
      </c>
      <c r="C26" s="4" t="s">
        <v>266</v>
      </c>
      <c r="D26" s="3"/>
      <c r="E26" s="5" t="n">
        <v>46256</v>
      </c>
      <c r="F26" s="3"/>
      <c r="G26" s="3" t="s">
        <v>124</v>
      </c>
      <c r="H26" s="4" t="s">
        <v>261</v>
      </c>
      <c r="I26" s="4" t="s">
        <v>48</v>
      </c>
    </row>
    <row r="27" customFormat="false" ht="64.5" hidden="false" customHeight="true" outlineLevel="0" collapsed="false">
      <c r="A27" s="3" t="s">
        <v>134</v>
      </c>
      <c r="B27" s="3" t="n">
        <v>2</v>
      </c>
      <c r="C27" s="4" t="s">
        <v>277</v>
      </c>
      <c r="D27" s="3"/>
      <c r="E27" s="5" t="n">
        <v>46256</v>
      </c>
      <c r="F27" s="3"/>
      <c r="G27" s="3" t="s">
        <v>124</v>
      </c>
      <c r="H27" s="4" t="s">
        <v>261</v>
      </c>
      <c r="I27" s="4" t="s">
        <v>48</v>
      </c>
    </row>
    <row r="28" customFormat="false" ht="64.5" hidden="false" customHeight="true" outlineLevel="0" collapsed="false">
      <c r="A28" s="3" t="s">
        <v>134</v>
      </c>
      <c r="B28" s="3" t="n">
        <v>3</v>
      </c>
      <c r="C28" s="4" t="s">
        <v>278</v>
      </c>
      <c r="D28" s="3"/>
      <c r="E28" s="5" t="n">
        <v>46256</v>
      </c>
      <c r="F28" s="3"/>
      <c r="G28" s="3" t="s">
        <v>124</v>
      </c>
      <c r="H28" s="4" t="s">
        <v>261</v>
      </c>
      <c r="I28" s="4" t="s">
        <v>48</v>
      </c>
    </row>
    <row r="29" customFormat="false" ht="64.5" hidden="false" customHeight="true" outlineLevel="0" collapsed="false">
      <c r="A29" s="3" t="s">
        <v>134</v>
      </c>
      <c r="B29" s="3" t="n">
        <v>4</v>
      </c>
      <c r="C29" s="4" t="s">
        <v>279</v>
      </c>
      <c r="D29" s="3"/>
      <c r="E29" s="5" t="n">
        <v>46256</v>
      </c>
      <c r="F29" s="3"/>
      <c r="G29" s="3" t="s">
        <v>124</v>
      </c>
      <c r="H29" s="4" t="s">
        <v>261</v>
      </c>
      <c r="I29" s="4" t="s">
        <v>48</v>
      </c>
    </row>
    <row r="30" customFormat="false" ht="64.5" hidden="false" customHeight="true" outlineLevel="0" collapsed="false">
      <c r="A30" s="3" t="s">
        <v>143</v>
      </c>
      <c r="B30" s="3" t="n">
        <v>1</v>
      </c>
      <c r="C30" s="4" t="s">
        <v>280</v>
      </c>
      <c r="D30" s="3"/>
      <c r="E30" s="5" t="n">
        <v>46256</v>
      </c>
      <c r="F30" s="3"/>
      <c r="G30" s="3" t="s">
        <v>124</v>
      </c>
      <c r="H30" s="4" t="s">
        <v>261</v>
      </c>
      <c r="I30" s="4" t="s">
        <v>48</v>
      </c>
    </row>
    <row r="31" customFormat="false" ht="64.5" hidden="false" customHeight="true" outlineLevel="0" collapsed="false">
      <c r="A31" s="3" t="s">
        <v>143</v>
      </c>
      <c r="B31" s="3" t="n">
        <v>2</v>
      </c>
      <c r="C31" s="4" t="s">
        <v>281</v>
      </c>
      <c r="D31" s="3"/>
      <c r="E31" s="5" t="n">
        <v>46256</v>
      </c>
      <c r="F31" s="3"/>
      <c r="G31" s="3" t="s">
        <v>124</v>
      </c>
      <c r="H31" s="4" t="s">
        <v>261</v>
      </c>
      <c r="I31" s="4" t="s">
        <v>48</v>
      </c>
    </row>
    <row r="32" customFormat="false" ht="64.5" hidden="false" customHeight="true" outlineLevel="0" collapsed="false">
      <c r="A32" s="3" t="s">
        <v>143</v>
      </c>
      <c r="B32" s="3" t="n">
        <v>3</v>
      </c>
      <c r="C32" s="4" t="s">
        <v>282</v>
      </c>
      <c r="D32" s="3"/>
      <c r="E32" s="5" t="n">
        <v>46256</v>
      </c>
      <c r="F32" s="3"/>
      <c r="G32" s="3" t="s">
        <v>124</v>
      </c>
      <c r="H32" s="4" t="s">
        <v>261</v>
      </c>
      <c r="I32" s="4" t="s">
        <v>48</v>
      </c>
    </row>
    <row r="33" customFormat="false" ht="64.5" hidden="false" customHeight="true" outlineLevel="0" collapsed="false">
      <c r="A33" s="3" t="s">
        <v>143</v>
      </c>
      <c r="B33" s="3" t="n">
        <v>4</v>
      </c>
      <c r="C33" s="4" t="s">
        <v>283</v>
      </c>
      <c r="D33" s="3"/>
      <c r="E33" s="5" t="n">
        <v>46256</v>
      </c>
      <c r="F33" s="3"/>
      <c r="G33" s="3" t="s">
        <v>124</v>
      </c>
      <c r="H33" s="4" t="s">
        <v>261</v>
      </c>
      <c r="I33" s="4" t="s">
        <v>48</v>
      </c>
    </row>
    <row r="34" customFormat="false" ht="64.5" hidden="false" customHeight="true" outlineLevel="0" collapsed="false">
      <c r="A34" s="3" t="s">
        <v>152</v>
      </c>
      <c r="B34" s="3" t="n">
        <v>1</v>
      </c>
      <c r="C34" s="4" t="s">
        <v>284</v>
      </c>
      <c r="D34" s="3"/>
      <c r="E34" s="5" t="n">
        <v>46256</v>
      </c>
      <c r="F34" s="3"/>
      <c r="G34" s="3" t="s">
        <v>124</v>
      </c>
      <c r="H34" s="4" t="s">
        <v>261</v>
      </c>
      <c r="I34" s="4" t="s">
        <v>48</v>
      </c>
    </row>
    <row r="35" customFormat="false" ht="64.5" hidden="false" customHeight="true" outlineLevel="0" collapsed="false">
      <c r="A35" s="3" t="s">
        <v>152</v>
      </c>
      <c r="B35" s="3" t="n">
        <v>2</v>
      </c>
      <c r="C35" s="4" t="s">
        <v>285</v>
      </c>
      <c r="D35" s="3"/>
      <c r="E35" s="5" t="n">
        <v>46256</v>
      </c>
      <c r="F35" s="3"/>
      <c r="G35" s="3" t="s">
        <v>124</v>
      </c>
      <c r="H35" s="4" t="s">
        <v>261</v>
      </c>
      <c r="I35" s="4" t="s">
        <v>48</v>
      </c>
    </row>
    <row r="36" customFormat="false" ht="64.5" hidden="false" customHeight="true" outlineLevel="0" collapsed="false">
      <c r="A36" s="3" t="s">
        <v>162</v>
      </c>
      <c r="B36" s="3" t="n">
        <v>1</v>
      </c>
      <c r="C36" s="4" t="s">
        <v>286</v>
      </c>
      <c r="D36" s="3"/>
      <c r="E36" s="5" t="n">
        <v>46256</v>
      </c>
      <c r="F36" s="3"/>
      <c r="G36" s="3" t="s">
        <v>170</v>
      </c>
      <c r="H36" s="4" t="s">
        <v>261</v>
      </c>
      <c r="I36" s="4" t="s">
        <v>48</v>
      </c>
    </row>
    <row r="37" customFormat="false" ht="64.5" hidden="false" customHeight="true" outlineLevel="0" collapsed="false">
      <c r="A37" s="3" t="s">
        <v>162</v>
      </c>
      <c r="B37" s="3" t="n">
        <v>2</v>
      </c>
      <c r="C37" s="4" t="s">
        <v>287</v>
      </c>
      <c r="D37" s="3"/>
      <c r="E37" s="5" t="n">
        <v>46256</v>
      </c>
      <c r="F37" s="3"/>
      <c r="G37" s="3" t="s">
        <v>170</v>
      </c>
      <c r="H37" s="4" t="s">
        <v>261</v>
      </c>
      <c r="I37" s="4" t="s">
        <v>48</v>
      </c>
    </row>
    <row r="38" customFormat="false" ht="64.5" hidden="false" customHeight="true" outlineLevel="0" collapsed="false">
      <c r="A38" s="3" t="s">
        <v>162</v>
      </c>
      <c r="B38" s="3" t="n">
        <v>3</v>
      </c>
      <c r="C38" s="4" t="s">
        <v>288</v>
      </c>
      <c r="D38" s="3"/>
      <c r="E38" s="5" t="n">
        <v>46256</v>
      </c>
      <c r="F38" s="3"/>
      <c r="G38" s="3" t="s">
        <v>170</v>
      </c>
      <c r="H38" s="4" t="s">
        <v>261</v>
      </c>
      <c r="I38" s="4" t="s">
        <v>48</v>
      </c>
    </row>
    <row r="39" customFormat="false" ht="64.5" hidden="false" customHeight="true" outlineLevel="0" collapsed="false">
      <c r="A39" s="3" t="s">
        <v>173</v>
      </c>
      <c r="B39" s="3" t="n">
        <v>1</v>
      </c>
      <c r="C39" s="4" t="s">
        <v>289</v>
      </c>
      <c r="D39" s="3"/>
      <c r="E39" s="5" t="n">
        <v>46256</v>
      </c>
      <c r="F39" s="3"/>
      <c r="G39" s="3" t="s">
        <v>179</v>
      </c>
      <c r="H39" s="4" t="s">
        <v>261</v>
      </c>
      <c r="I39" s="4" t="s">
        <v>48</v>
      </c>
    </row>
    <row r="40" customFormat="false" ht="64.5" hidden="false" customHeight="true" outlineLevel="0" collapsed="false">
      <c r="A40" s="3" t="s">
        <v>173</v>
      </c>
      <c r="B40" s="3" t="n">
        <v>2</v>
      </c>
      <c r="C40" s="4" t="s">
        <v>277</v>
      </c>
      <c r="D40" s="3"/>
      <c r="E40" s="5" t="n">
        <v>46256</v>
      </c>
      <c r="F40" s="3"/>
      <c r="G40" s="3" t="s">
        <v>179</v>
      </c>
      <c r="H40" s="4" t="s">
        <v>261</v>
      </c>
      <c r="I40" s="4" t="s">
        <v>48</v>
      </c>
    </row>
    <row r="41" customFormat="false" ht="64.5" hidden="false" customHeight="true" outlineLevel="0" collapsed="false">
      <c r="A41" s="3" t="s">
        <v>173</v>
      </c>
      <c r="B41" s="3" t="n">
        <v>3</v>
      </c>
      <c r="C41" s="4" t="s">
        <v>285</v>
      </c>
      <c r="D41" s="3"/>
      <c r="E41" s="5" t="n">
        <v>46256</v>
      </c>
      <c r="F41" s="3"/>
      <c r="G41" s="3" t="s">
        <v>179</v>
      </c>
      <c r="H41" s="4" t="s">
        <v>261</v>
      </c>
      <c r="I41" s="4" t="s">
        <v>48</v>
      </c>
    </row>
    <row r="42" customFormat="false" ht="64.5" hidden="false" customHeight="true" outlineLevel="0" collapsed="false">
      <c r="A42" s="3" t="s">
        <v>181</v>
      </c>
      <c r="B42" s="3" t="n">
        <v>1</v>
      </c>
      <c r="C42" s="4" t="s">
        <v>290</v>
      </c>
      <c r="D42" s="3"/>
      <c r="E42" s="5" t="n">
        <v>46256</v>
      </c>
      <c r="F42" s="3"/>
      <c r="G42" s="3" t="s">
        <v>179</v>
      </c>
      <c r="H42" s="4" t="s">
        <v>261</v>
      </c>
      <c r="I42" s="4" t="s">
        <v>48</v>
      </c>
    </row>
    <row r="43" customFormat="false" ht="64.5" hidden="false" customHeight="true" outlineLevel="0" collapsed="false">
      <c r="A43" s="3" t="s">
        <v>181</v>
      </c>
      <c r="B43" s="3" t="n">
        <v>2</v>
      </c>
      <c r="C43" s="4" t="s">
        <v>291</v>
      </c>
      <c r="D43" s="3"/>
      <c r="E43" s="5" t="n">
        <v>46256</v>
      </c>
      <c r="F43" s="3"/>
      <c r="G43" s="3" t="s">
        <v>179</v>
      </c>
      <c r="H43" s="4" t="s">
        <v>261</v>
      </c>
      <c r="I43" s="4" t="s">
        <v>48</v>
      </c>
    </row>
    <row r="44" customFormat="false" ht="64.5" hidden="false" customHeight="true" outlineLevel="0" collapsed="false">
      <c r="A44" s="3" t="s">
        <v>190</v>
      </c>
      <c r="B44" s="3" t="n">
        <v>1</v>
      </c>
      <c r="C44" s="4" t="s">
        <v>292</v>
      </c>
      <c r="D44" s="3"/>
      <c r="E44" s="5" t="n">
        <v>46256</v>
      </c>
      <c r="F44" s="3"/>
      <c r="G44" s="3" t="s">
        <v>179</v>
      </c>
      <c r="H44" s="4" t="s">
        <v>261</v>
      </c>
      <c r="I44" s="4" t="s">
        <v>48</v>
      </c>
    </row>
    <row r="45" customFormat="false" ht="64.5" hidden="false" customHeight="true" outlineLevel="0" collapsed="false">
      <c r="A45" s="3" t="s">
        <v>190</v>
      </c>
      <c r="B45" s="3" t="n">
        <v>2</v>
      </c>
      <c r="C45" s="4" t="s">
        <v>285</v>
      </c>
      <c r="D45" s="3"/>
      <c r="E45" s="5" t="n">
        <v>46256</v>
      </c>
      <c r="F45" s="3"/>
      <c r="G45" s="3" t="s">
        <v>179</v>
      </c>
      <c r="H45" s="4" t="s">
        <v>261</v>
      </c>
      <c r="I45" s="4" t="s">
        <v>48</v>
      </c>
    </row>
    <row r="46" customFormat="false" ht="64.5" hidden="false" customHeight="true" outlineLevel="0" collapsed="false">
      <c r="A46" s="3" t="s">
        <v>196</v>
      </c>
      <c r="B46" s="3" t="n">
        <v>1</v>
      </c>
      <c r="C46" s="4" t="s">
        <v>293</v>
      </c>
      <c r="D46" s="3"/>
      <c r="E46" s="5" t="n">
        <v>46256</v>
      </c>
      <c r="F46" s="3"/>
      <c r="G46" s="3" t="s">
        <v>179</v>
      </c>
      <c r="H46" s="4" t="s">
        <v>261</v>
      </c>
      <c r="I46" s="4" t="s">
        <v>48</v>
      </c>
    </row>
    <row r="47" customFormat="false" ht="64.5" hidden="false" customHeight="true" outlineLevel="0" collapsed="false">
      <c r="A47" s="3" t="s">
        <v>196</v>
      </c>
      <c r="B47" s="3" t="n">
        <v>2</v>
      </c>
      <c r="C47" s="4" t="s">
        <v>294</v>
      </c>
      <c r="D47" s="3"/>
      <c r="E47" s="5" t="n">
        <v>46256</v>
      </c>
      <c r="F47" s="3"/>
      <c r="G47" s="3" t="s">
        <v>179</v>
      </c>
      <c r="H47" s="4" t="s">
        <v>261</v>
      </c>
      <c r="I47" s="4" t="s">
        <v>48</v>
      </c>
    </row>
    <row r="48" customFormat="false" ht="64.5" hidden="false" customHeight="true" outlineLevel="0" collapsed="false">
      <c r="A48" s="3" t="s">
        <v>205</v>
      </c>
      <c r="B48" s="3" t="n">
        <v>1</v>
      </c>
      <c r="C48" s="4" t="s">
        <v>295</v>
      </c>
      <c r="D48" s="3"/>
      <c r="E48" s="5" t="n">
        <v>46256</v>
      </c>
      <c r="F48" s="3"/>
      <c r="G48" s="3" t="s">
        <v>179</v>
      </c>
      <c r="H48" s="4" t="s">
        <v>261</v>
      </c>
      <c r="I48" s="4" t="s">
        <v>48</v>
      </c>
    </row>
    <row r="49" customFormat="false" ht="64.5" hidden="false" customHeight="true" outlineLevel="0" collapsed="false">
      <c r="A49" s="3" t="s">
        <v>205</v>
      </c>
      <c r="B49" s="3" t="n">
        <v>2</v>
      </c>
      <c r="C49" s="4" t="s">
        <v>285</v>
      </c>
      <c r="D49" s="3"/>
      <c r="E49" s="5" t="n">
        <v>46256</v>
      </c>
      <c r="F49" s="3"/>
      <c r="G49" s="3" t="s">
        <v>179</v>
      </c>
      <c r="H49" s="4" t="s">
        <v>261</v>
      </c>
      <c r="I49" s="4" t="s">
        <v>48</v>
      </c>
    </row>
    <row r="50" customFormat="false" ht="64.5" hidden="false" customHeight="true" outlineLevel="0" collapsed="false">
      <c r="A50" s="3" t="s">
        <v>213</v>
      </c>
      <c r="B50" s="3" t="n">
        <v>1</v>
      </c>
      <c r="C50" s="4" t="s">
        <v>296</v>
      </c>
      <c r="D50" s="3"/>
      <c r="E50" s="5" t="n">
        <v>46256</v>
      </c>
      <c r="F50" s="3"/>
      <c r="G50" s="3" t="s">
        <v>179</v>
      </c>
      <c r="H50" s="4" t="s">
        <v>261</v>
      </c>
      <c r="I50" s="4" t="s">
        <v>48</v>
      </c>
    </row>
    <row r="51" customFormat="false" ht="64.5" hidden="false" customHeight="true" outlineLevel="0" collapsed="false">
      <c r="A51" s="3" t="s">
        <v>213</v>
      </c>
      <c r="B51" s="3" t="n">
        <v>2</v>
      </c>
      <c r="C51" s="4" t="s">
        <v>297</v>
      </c>
      <c r="D51" s="3"/>
      <c r="E51" s="5" t="n">
        <v>46256</v>
      </c>
      <c r="F51" s="3"/>
      <c r="G51" s="3" t="s">
        <v>179</v>
      </c>
      <c r="H51" s="4" t="s">
        <v>261</v>
      </c>
      <c r="I51" s="4" t="s">
        <v>48</v>
      </c>
    </row>
    <row r="52" customFormat="false" ht="64.5" hidden="false" customHeight="true" outlineLevel="0" collapsed="false">
      <c r="A52" s="3" t="s">
        <v>213</v>
      </c>
      <c r="B52" s="3" t="n">
        <v>3</v>
      </c>
      <c r="C52" s="4" t="s">
        <v>298</v>
      </c>
      <c r="D52" s="3"/>
      <c r="E52" s="5" t="n">
        <v>46256</v>
      </c>
      <c r="F52" s="3"/>
      <c r="G52" s="3" t="s">
        <v>179</v>
      </c>
      <c r="H52" s="4" t="s">
        <v>261</v>
      </c>
      <c r="I52" s="4" t="s">
        <v>48</v>
      </c>
    </row>
    <row r="53" customFormat="false" ht="64.5" hidden="false" customHeight="true" outlineLevel="0" collapsed="false">
      <c r="A53" s="3" t="s">
        <v>221</v>
      </c>
      <c r="B53" s="3" t="n">
        <v>1</v>
      </c>
      <c r="C53" s="4" t="s">
        <v>299</v>
      </c>
      <c r="D53" s="3"/>
      <c r="E53" s="5" t="n">
        <v>46256</v>
      </c>
      <c r="F53" s="3"/>
      <c r="G53" s="3" t="s">
        <v>227</v>
      </c>
      <c r="H53" s="4" t="s">
        <v>261</v>
      </c>
      <c r="I53" s="4" t="s">
        <v>48</v>
      </c>
    </row>
    <row r="54" customFormat="false" ht="64.5" hidden="false" customHeight="true" outlineLevel="0" collapsed="false">
      <c r="A54" s="3" t="s">
        <v>221</v>
      </c>
      <c r="B54" s="3" t="n">
        <v>2</v>
      </c>
      <c r="C54" s="4" t="s">
        <v>300</v>
      </c>
      <c r="D54" s="3"/>
      <c r="E54" s="5" t="n">
        <v>46256</v>
      </c>
      <c r="F54" s="3"/>
      <c r="G54" s="3" t="s">
        <v>227</v>
      </c>
      <c r="H54" s="4" t="s">
        <v>261</v>
      </c>
      <c r="I54" s="4" t="s">
        <v>48</v>
      </c>
    </row>
  </sheetData>
  <autoFilter ref="A1:I54"/>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8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4" min="1" style="0" width="27"/>
  </cols>
  <sheetData>
    <row r="1" customFormat="false" ht="15" hidden="false" customHeight="false" outlineLevel="0" collapsed="false">
      <c r="A1" s="1" t="s">
        <v>301</v>
      </c>
      <c r="B1" s="1" t="s">
        <v>18</v>
      </c>
      <c r="C1" s="1" t="s">
        <v>302</v>
      </c>
      <c r="D1" s="1" t="s">
        <v>303</v>
      </c>
      <c r="E1" s="1" t="s">
        <v>304</v>
      </c>
      <c r="F1" s="1" t="s">
        <v>305</v>
      </c>
      <c r="G1" s="1" t="s">
        <v>306</v>
      </c>
      <c r="H1" s="1" t="s">
        <v>232</v>
      </c>
      <c r="I1" s="1" t="s">
        <v>7</v>
      </c>
      <c r="J1" s="1" t="s">
        <v>307</v>
      </c>
      <c r="K1" s="1" t="s">
        <v>308</v>
      </c>
      <c r="L1" s="1" t="s">
        <v>309</v>
      </c>
      <c r="M1" s="1" t="s">
        <v>310</v>
      </c>
      <c r="N1" s="1" t="s">
        <v>311</v>
      </c>
    </row>
    <row r="2" customFormat="false" ht="64.5" hidden="false" customHeight="true" outlineLevel="0" collapsed="false">
      <c r="A2" s="3" t="s">
        <v>312</v>
      </c>
      <c r="B2" s="3" t="s">
        <v>36</v>
      </c>
      <c r="C2" s="4" t="s">
        <v>313</v>
      </c>
      <c r="D2" s="4" t="s">
        <v>314</v>
      </c>
      <c r="E2" s="4" t="s">
        <v>315</v>
      </c>
      <c r="F2" s="4" t="s">
        <v>316</v>
      </c>
      <c r="G2" s="4" t="s">
        <v>317</v>
      </c>
      <c r="H2" s="3" t="s">
        <v>45</v>
      </c>
      <c r="I2" s="4" t="s">
        <v>318</v>
      </c>
      <c r="J2" s="4" t="s">
        <v>319</v>
      </c>
      <c r="K2" s="3"/>
      <c r="L2" s="3"/>
      <c r="M2" s="3"/>
      <c r="N2" s="3"/>
    </row>
    <row r="3" customFormat="false" ht="64.5" hidden="false" customHeight="true" outlineLevel="0" collapsed="false">
      <c r="A3" s="3" t="s">
        <v>320</v>
      </c>
      <c r="B3" s="3" t="s">
        <v>36</v>
      </c>
      <c r="C3" s="4" t="s">
        <v>321</v>
      </c>
      <c r="D3" s="4" t="s">
        <v>322</v>
      </c>
      <c r="E3" s="4" t="s">
        <v>323</v>
      </c>
      <c r="F3" s="4" t="s">
        <v>324</v>
      </c>
      <c r="G3" s="4" t="s">
        <v>317</v>
      </c>
      <c r="H3" s="3" t="s">
        <v>45</v>
      </c>
      <c r="I3" s="4" t="s">
        <v>318</v>
      </c>
      <c r="J3" s="4" t="s">
        <v>319</v>
      </c>
      <c r="K3" s="3"/>
      <c r="L3" s="3"/>
      <c r="M3" s="3"/>
      <c r="N3" s="3"/>
    </row>
    <row r="4" customFormat="false" ht="64.5" hidden="false" customHeight="true" outlineLevel="0" collapsed="false">
      <c r="A4" s="3" t="s">
        <v>325</v>
      </c>
      <c r="B4" s="3" t="s">
        <v>36</v>
      </c>
      <c r="C4" s="4" t="s">
        <v>321</v>
      </c>
      <c r="D4" s="4" t="s">
        <v>326</v>
      </c>
      <c r="E4" s="4" t="s">
        <v>327</v>
      </c>
      <c r="F4" s="4" t="s">
        <v>328</v>
      </c>
      <c r="G4" s="4" t="s">
        <v>317</v>
      </c>
      <c r="H4" s="3" t="s">
        <v>45</v>
      </c>
      <c r="I4" s="4" t="s">
        <v>318</v>
      </c>
      <c r="J4" s="4" t="s">
        <v>319</v>
      </c>
      <c r="K4" s="3"/>
      <c r="L4" s="3"/>
      <c r="M4" s="3"/>
      <c r="N4" s="3"/>
    </row>
    <row r="5" customFormat="false" ht="64.5" hidden="false" customHeight="true" outlineLevel="0" collapsed="false">
      <c r="A5" s="3" t="s">
        <v>329</v>
      </c>
      <c r="B5" s="3" t="s">
        <v>36</v>
      </c>
      <c r="C5" s="4" t="s">
        <v>321</v>
      </c>
      <c r="D5" s="4" t="s">
        <v>330</v>
      </c>
      <c r="E5" s="4" t="s">
        <v>331</v>
      </c>
      <c r="F5" s="4" t="s">
        <v>332</v>
      </c>
      <c r="G5" s="4" t="s">
        <v>317</v>
      </c>
      <c r="H5" s="3" t="s">
        <v>45</v>
      </c>
      <c r="I5" s="4" t="s">
        <v>318</v>
      </c>
      <c r="J5" s="4" t="s">
        <v>319</v>
      </c>
      <c r="K5" s="3"/>
      <c r="L5" s="3"/>
      <c r="M5" s="3"/>
      <c r="N5" s="3"/>
    </row>
    <row r="6" customFormat="false" ht="64.5" hidden="false" customHeight="true" outlineLevel="0" collapsed="false">
      <c r="A6" s="3" t="s">
        <v>333</v>
      </c>
      <c r="B6" s="3" t="s">
        <v>36</v>
      </c>
      <c r="C6" s="4" t="s">
        <v>321</v>
      </c>
      <c r="D6" s="4" t="s">
        <v>334</v>
      </c>
      <c r="E6" s="4" t="s">
        <v>335</v>
      </c>
      <c r="F6" s="4" t="s">
        <v>336</v>
      </c>
      <c r="G6" s="4" t="s">
        <v>317</v>
      </c>
      <c r="H6" s="3" t="s">
        <v>45</v>
      </c>
      <c r="I6" s="4" t="s">
        <v>318</v>
      </c>
      <c r="J6" s="4" t="s">
        <v>319</v>
      </c>
      <c r="K6" s="3"/>
      <c r="L6" s="3"/>
      <c r="M6" s="3"/>
      <c r="N6" s="3"/>
    </row>
    <row r="7" customFormat="false" ht="64.5" hidden="false" customHeight="true" outlineLevel="0" collapsed="false">
      <c r="A7" s="3" t="s">
        <v>337</v>
      </c>
      <c r="B7" s="3" t="s">
        <v>36</v>
      </c>
      <c r="C7" s="4" t="s">
        <v>313</v>
      </c>
      <c r="D7" s="4" t="s">
        <v>338</v>
      </c>
      <c r="E7" s="4" t="s">
        <v>339</v>
      </c>
      <c r="F7" s="4" t="s">
        <v>340</v>
      </c>
      <c r="G7" s="4" t="s">
        <v>317</v>
      </c>
      <c r="H7" s="3" t="s">
        <v>45</v>
      </c>
      <c r="I7" s="4" t="s">
        <v>318</v>
      </c>
      <c r="J7" s="4" t="s">
        <v>319</v>
      </c>
      <c r="K7" s="3"/>
      <c r="L7" s="3"/>
      <c r="M7" s="3"/>
      <c r="N7" s="3"/>
    </row>
    <row r="8" customFormat="false" ht="64.5" hidden="false" customHeight="true" outlineLevel="0" collapsed="false">
      <c r="A8" s="3" t="s">
        <v>341</v>
      </c>
      <c r="B8" s="3" t="s">
        <v>36</v>
      </c>
      <c r="C8" s="4" t="s">
        <v>313</v>
      </c>
      <c r="D8" s="4" t="s">
        <v>342</v>
      </c>
      <c r="E8" s="4" t="s">
        <v>343</v>
      </c>
      <c r="F8" s="4" t="s">
        <v>344</v>
      </c>
      <c r="G8" s="4" t="s">
        <v>317</v>
      </c>
      <c r="H8" s="3" t="s">
        <v>45</v>
      </c>
      <c r="I8" s="4" t="s">
        <v>318</v>
      </c>
      <c r="J8" s="4" t="s">
        <v>319</v>
      </c>
      <c r="K8" s="3"/>
      <c r="L8" s="3"/>
      <c r="M8" s="3"/>
      <c r="N8" s="3"/>
    </row>
    <row r="9" customFormat="false" ht="64.5" hidden="false" customHeight="true" outlineLevel="0" collapsed="false">
      <c r="A9" s="3" t="s">
        <v>345</v>
      </c>
      <c r="B9" s="3" t="s">
        <v>36</v>
      </c>
      <c r="C9" s="4" t="s">
        <v>346</v>
      </c>
      <c r="D9" s="4" t="s">
        <v>347</v>
      </c>
      <c r="E9" s="4" t="s">
        <v>348</v>
      </c>
      <c r="F9" s="4" t="s">
        <v>349</v>
      </c>
      <c r="G9" s="4" t="s">
        <v>317</v>
      </c>
      <c r="H9" s="3" t="s">
        <v>45</v>
      </c>
      <c r="I9" s="4" t="s">
        <v>350</v>
      </c>
      <c r="J9" s="4" t="s">
        <v>319</v>
      </c>
      <c r="K9" s="3"/>
      <c r="L9" s="3"/>
      <c r="M9" s="3"/>
      <c r="N9" s="3"/>
    </row>
    <row r="10" customFormat="false" ht="64.5" hidden="false" customHeight="true" outlineLevel="0" collapsed="false">
      <c r="A10" s="3" t="s">
        <v>351</v>
      </c>
      <c r="B10" s="3" t="s">
        <v>50</v>
      </c>
      <c r="C10" s="4" t="s">
        <v>313</v>
      </c>
      <c r="D10" s="4" t="s">
        <v>314</v>
      </c>
      <c r="E10" s="4" t="s">
        <v>315</v>
      </c>
      <c r="F10" s="4" t="s">
        <v>316</v>
      </c>
      <c r="G10" s="4" t="s">
        <v>317</v>
      </c>
      <c r="H10" s="3" t="s">
        <v>45</v>
      </c>
      <c r="I10" s="4" t="s">
        <v>318</v>
      </c>
      <c r="J10" s="4" t="s">
        <v>319</v>
      </c>
      <c r="K10" s="3"/>
      <c r="L10" s="3"/>
      <c r="M10" s="3"/>
      <c r="N10" s="3"/>
    </row>
    <row r="11" customFormat="false" ht="64.5" hidden="false" customHeight="true" outlineLevel="0" collapsed="false">
      <c r="A11" s="3" t="s">
        <v>352</v>
      </c>
      <c r="B11" s="3" t="s">
        <v>50</v>
      </c>
      <c r="C11" s="4" t="s">
        <v>321</v>
      </c>
      <c r="D11" s="4" t="s">
        <v>322</v>
      </c>
      <c r="E11" s="4" t="s">
        <v>323</v>
      </c>
      <c r="F11" s="4" t="s">
        <v>324</v>
      </c>
      <c r="G11" s="4" t="s">
        <v>317</v>
      </c>
      <c r="H11" s="3" t="s">
        <v>45</v>
      </c>
      <c r="I11" s="4" t="s">
        <v>318</v>
      </c>
      <c r="J11" s="4" t="s">
        <v>319</v>
      </c>
      <c r="K11" s="3"/>
      <c r="L11" s="3"/>
      <c r="M11" s="3"/>
      <c r="N11" s="3"/>
    </row>
    <row r="12" customFormat="false" ht="64.5" hidden="false" customHeight="true" outlineLevel="0" collapsed="false">
      <c r="A12" s="3" t="s">
        <v>353</v>
      </c>
      <c r="B12" s="3" t="s">
        <v>50</v>
      </c>
      <c r="C12" s="4" t="s">
        <v>321</v>
      </c>
      <c r="D12" s="4" t="s">
        <v>326</v>
      </c>
      <c r="E12" s="4" t="s">
        <v>327</v>
      </c>
      <c r="F12" s="4" t="s">
        <v>328</v>
      </c>
      <c r="G12" s="4" t="s">
        <v>317</v>
      </c>
      <c r="H12" s="3" t="s">
        <v>45</v>
      </c>
      <c r="I12" s="4" t="s">
        <v>318</v>
      </c>
      <c r="J12" s="4" t="s">
        <v>319</v>
      </c>
      <c r="K12" s="3"/>
      <c r="L12" s="3"/>
      <c r="M12" s="3"/>
      <c r="N12" s="3"/>
    </row>
    <row r="13" customFormat="false" ht="64.5" hidden="false" customHeight="true" outlineLevel="0" collapsed="false">
      <c r="A13" s="3" t="s">
        <v>354</v>
      </c>
      <c r="B13" s="3" t="s">
        <v>50</v>
      </c>
      <c r="C13" s="4" t="s">
        <v>321</v>
      </c>
      <c r="D13" s="4" t="s">
        <v>330</v>
      </c>
      <c r="E13" s="4" t="s">
        <v>331</v>
      </c>
      <c r="F13" s="4" t="s">
        <v>332</v>
      </c>
      <c r="G13" s="4" t="s">
        <v>317</v>
      </c>
      <c r="H13" s="3" t="s">
        <v>45</v>
      </c>
      <c r="I13" s="4" t="s">
        <v>318</v>
      </c>
      <c r="J13" s="4" t="s">
        <v>319</v>
      </c>
      <c r="K13" s="3"/>
      <c r="L13" s="3"/>
      <c r="M13" s="3"/>
      <c r="N13" s="3"/>
    </row>
    <row r="14" customFormat="false" ht="64.5" hidden="false" customHeight="true" outlineLevel="0" collapsed="false">
      <c r="A14" s="3" t="s">
        <v>355</v>
      </c>
      <c r="B14" s="3" t="s">
        <v>50</v>
      </c>
      <c r="C14" s="4" t="s">
        <v>321</v>
      </c>
      <c r="D14" s="4" t="s">
        <v>334</v>
      </c>
      <c r="E14" s="4" t="s">
        <v>335</v>
      </c>
      <c r="F14" s="4" t="s">
        <v>336</v>
      </c>
      <c r="G14" s="4" t="s">
        <v>317</v>
      </c>
      <c r="H14" s="3" t="s">
        <v>45</v>
      </c>
      <c r="I14" s="4" t="s">
        <v>318</v>
      </c>
      <c r="J14" s="4" t="s">
        <v>319</v>
      </c>
      <c r="K14" s="3"/>
      <c r="L14" s="3"/>
      <c r="M14" s="3"/>
      <c r="N14" s="3"/>
    </row>
    <row r="15" customFormat="false" ht="64.5" hidden="false" customHeight="true" outlineLevel="0" collapsed="false">
      <c r="A15" s="3" t="s">
        <v>356</v>
      </c>
      <c r="B15" s="3" t="s">
        <v>50</v>
      </c>
      <c r="C15" s="4" t="s">
        <v>313</v>
      </c>
      <c r="D15" s="4" t="s">
        <v>338</v>
      </c>
      <c r="E15" s="4" t="s">
        <v>339</v>
      </c>
      <c r="F15" s="4" t="s">
        <v>340</v>
      </c>
      <c r="G15" s="4" t="s">
        <v>317</v>
      </c>
      <c r="H15" s="3" t="s">
        <v>45</v>
      </c>
      <c r="I15" s="4" t="s">
        <v>318</v>
      </c>
      <c r="J15" s="4" t="s">
        <v>319</v>
      </c>
      <c r="K15" s="3"/>
      <c r="L15" s="3"/>
      <c r="M15" s="3"/>
      <c r="N15" s="3"/>
    </row>
    <row r="16" customFormat="false" ht="64.5" hidden="false" customHeight="true" outlineLevel="0" collapsed="false">
      <c r="A16" s="3" t="s">
        <v>357</v>
      </c>
      <c r="B16" s="3" t="s">
        <v>50</v>
      </c>
      <c r="C16" s="4" t="s">
        <v>313</v>
      </c>
      <c r="D16" s="4" t="s">
        <v>342</v>
      </c>
      <c r="E16" s="4" t="s">
        <v>343</v>
      </c>
      <c r="F16" s="4" t="s">
        <v>344</v>
      </c>
      <c r="G16" s="4" t="s">
        <v>317</v>
      </c>
      <c r="H16" s="3" t="s">
        <v>45</v>
      </c>
      <c r="I16" s="4" t="s">
        <v>318</v>
      </c>
      <c r="J16" s="4" t="s">
        <v>319</v>
      </c>
      <c r="K16" s="3"/>
      <c r="L16" s="3"/>
      <c r="M16" s="3"/>
      <c r="N16" s="3"/>
    </row>
    <row r="17" customFormat="false" ht="64.5" hidden="false" customHeight="true" outlineLevel="0" collapsed="false">
      <c r="A17" s="3" t="s">
        <v>358</v>
      </c>
      <c r="B17" s="3" t="s">
        <v>50</v>
      </c>
      <c r="C17" s="4" t="s">
        <v>346</v>
      </c>
      <c r="D17" s="4" t="s">
        <v>347</v>
      </c>
      <c r="E17" s="4" t="s">
        <v>348</v>
      </c>
      <c r="F17" s="4" t="s">
        <v>349</v>
      </c>
      <c r="G17" s="4" t="s">
        <v>317</v>
      </c>
      <c r="H17" s="3" t="s">
        <v>45</v>
      </c>
      <c r="I17" s="4" t="s">
        <v>350</v>
      </c>
      <c r="J17" s="4" t="s">
        <v>319</v>
      </c>
      <c r="K17" s="3"/>
      <c r="L17" s="3"/>
      <c r="M17" s="3"/>
      <c r="N17" s="3"/>
    </row>
    <row r="18" customFormat="false" ht="64.5" hidden="false" customHeight="true" outlineLevel="0" collapsed="false">
      <c r="A18" s="3" t="s">
        <v>359</v>
      </c>
      <c r="B18" s="3" t="s">
        <v>56</v>
      </c>
      <c r="C18" s="4" t="s">
        <v>313</v>
      </c>
      <c r="D18" s="4" t="s">
        <v>314</v>
      </c>
      <c r="E18" s="4" t="s">
        <v>315</v>
      </c>
      <c r="F18" s="4" t="s">
        <v>316</v>
      </c>
      <c r="G18" s="4" t="s">
        <v>317</v>
      </c>
      <c r="H18" s="3" t="s">
        <v>62</v>
      </c>
      <c r="I18" s="4" t="s">
        <v>318</v>
      </c>
      <c r="J18" s="4" t="s">
        <v>319</v>
      </c>
      <c r="K18" s="3"/>
      <c r="L18" s="3"/>
      <c r="M18" s="3"/>
      <c r="N18" s="3"/>
    </row>
    <row r="19" customFormat="false" ht="64.5" hidden="false" customHeight="true" outlineLevel="0" collapsed="false">
      <c r="A19" s="3" t="s">
        <v>360</v>
      </c>
      <c r="B19" s="3" t="s">
        <v>56</v>
      </c>
      <c r="C19" s="4" t="s">
        <v>321</v>
      </c>
      <c r="D19" s="4" t="s">
        <v>322</v>
      </c>
      <c r="E19" s="4" t="s">
        <v>323</v>
      </c>
      <c r="F19" s="4" t="s">
        <v>324</v>
      </c>
      <c r="G19" s="4" t="s">
        <v>317</v>
      </c>
      <c r="H19" s="3" t="s">
        <v>62</v>
      </c>
      <c r="I19" s="4" t="s">
        <v>318</v>
      </c>
      <c r="J19" s="4" t="s">
        <v>319</v>
      </c>
      <c r="K19" s="3"/>
      <c r="L19" s="3"/>
      <c r="M19" s="3"/>
      <c r="N19" s="3"/>
    </row>
    <row r="20" customFormat="false" ht="64.5" hidden="false" customHeight="true" outlineLevel="0" collapsed="false">
      <c r="A20" s="3" t="s">
        <v>361</v>
      </c>
      <c r="B20" s="3" t="s">
        <v>56</v>
      </c>
      <c r="C20" s="4" t="s">
        <v>321</v>
      </c>
      <c r="D20" s="4" t="s">
        <v>326</v>
      </c>
      <c r="E20" s="4" t="s">
        <v>327</v>
      </c>
      <c r="F20" s="4" t="s">
        <v>328</v>
      </c>
      <c r="G20" s="4" t="s">
        <v>317</v>
      </c>
      <c r="H20" s="3" t="s">
        <v>62</v>
      </c>
      <c r="I20" s="4" t="s">
        <v>318</v>
      </c>
      <c r="J20" s="4" t="s">
        <v>319</v>
      </c>
      <c r="K20" s="3"/>
      <c r="L20" s="3"/>
      <c r="M20" s="3"/>
      <c r="N20" s="3"/>
    </row>
    <row r="21" customFormat="false" ht="64.5" hidden="false" customHeight="true" outlineLevel="0" collapsed="false">
      <c r="A21" s="3" t="s">
        <v>362</v>
      </c>
      <c r="B21" s="3" t="s">
        <v>56</v>
      </c>
      <c r="C21" s="4" t="s">
        <v>321</v>
      </c>
      <c r="D21" s="4" t="s">
        <v>330</v>
      </c>
      <c r="E21" s="4" t="s">
        <v>331</v>
      </c>
      <c r="F21" s="4" t="s">
        <v>332</v>
      </c>
      <c r="G21" s="4" t="s">
        <v>317</v>
      </c>
      <c r="H21" s="3" t="s">
        <v>62</v>
      </c>
      <c r="I21" s="4" t="s">
        <v>318</v>
      </c>
      <c r="J21" s="4" t="s">
        <v>319</v>
      </c>
      <c r="K21" s="3"/>
      <c r="L21" s="3"/>
      <c r="M21" s="3"/>
      <c r="N21" s="3"/>
    </row>
    <row r="22" customFormat="false" ht="64.5" hidden="false" customHeight="true" outlineLevel="0" collapsed="false">
      <c r="A22" s="3" t="s">
        <v>363</v>
      </c>
      <c r="B22" s="3" t="s">
        <v>56</v>
      </c>
      <c r="C22" s="4" t="s">
        <v>321</v>
      </c>
      <c r="D22" s="4" t="s">
        <v>334</v>
      </c>
      <c r="E22" s="4" t="s">
        <v>335</v>
      </c>
      <c r="F22" s="4" t="s">
        <v>336</v>
      </c>
      <c r="G22" s="4" t="s">
        <v>317</v>
      </c>
      <c r="H22" s="3" t="s">
        <v>62</v>
      </c>
      <c r="I22" s="4" t="s">
        <v>318</v>
      </c>
      <c r="J22" s="4" t="s">
        <v>319</v>
      </c>
      <c r="K22" s="3"/>
      <c r="L22" s="3"/>
      <c r="M22" s="3"/>
      <c r="N22" s="3"/>
    </row>
    <row r="23" customFormat="false" ht="64.5" hidden="false" customHeight="true" outlineLevel="0" collapsed="false">
      <c r="A23" s="3" t="s">
        <v>364</v>
      </c>
      <c r="B23" s="3" t="s">
        <v>56</v>
      </c>
      <c r="C23" s="4" t="s">
        <v>313</v>
      </c>
      <c r="D23" s="4" t="s">
        <v>338</v>
      </c>
      <c r="E23" s="4" t="s">
        <v>339</v>
      </c>
      <c r="F23" s="4" t="s">
        <v>340</v>
      </c>
      <c r="G23" s="4" t="s">
        <v>317</v>
      </c>
      <c r="H23" s="3" t="s">
        <v>62</v>
      </c>
      <c r="I23" s="4" t="s">
        <v>318</v>
      </c>
      <c r="J23" s="4" t="s">
        <v>319</v>
      </c>
      <c r="K23" s="3"/>
      <c r="L23" s="3"/>
      <c r="M23" s="3"/>
      <c r="N23" s="3"/>
    </row>
    <row r="24" customFormat="false" ht="64.5" hidden="false" customHeight="true" outlineLevel="0" collapsed="false">
      <c r="A24" s="3" t="s">
        <v>365</v>
      </c>
      <c r="B24" s="3" t="s">
        <v>56</v>
      </c>
      <c r="C24" s="4" t="s">
        <v>313</v>
      </c>
      <c r="D24" s="4" t="s">
        <v>342</v>
      </c>
      <c r="E24" s="4" t="s">
        <v>343</v>
      </c>
      <c r="F24" s="4" t="s">
        <v>344</v>
      </c>
      <c r="G24" s="4" t="s">
        <v>317</v>
      </c>
      <c r="H24" s="3" t="s">
        <v>62</v>
      </c>
      <c r="I24" s="4" t="s">
        <v>318</v>
      </c>
      <c r="J24" s="4" t="s">
        <v>319</v>
      </c>
      <c r="K24" s="3"/>
      <c r="L24" s="3"/>
      <c r="M24" s="3"/>
      <c r="N24" s="3"/>
    </row>
    <row r="25" customFormat="false" ht="64.5" hidden="false" customHeight="true" outlineLevel="0" collapsed="false">
      <c r="A25" s="3" t="s">
        <v>366</v>
      </c>
      <c r="B25" s="3" t="s">
        <v>56</v>
      </c>
      <c r="C25" s="4" t="s">
        <v>346</v>
      </c>
      <c r="D25" s="4" t="s">
        <v>347</v>
      </c>
      <c r="E25" s="4" t="s">
        <v>348</v>
      </c>
      <c r="F25" s="4" t="s">
        <v>349</v>
      </c>
      <c r="G25" s="4" t="s">
        <v>317</v>
      </c>
      <c r="H25" s="3" t="s">
        <v>62</v>
      </c>
      <c r="I25" s="4" t="s">
        <v>350</v>
      </c>
      <c r="J25" s="4" t="s">
        <v>319</v>
      </c>
      <c r="K25" s="3"/>
      <c r="L25" s="3"/>
      <c r="M25" s="3"/>
      <c r="N25" s="3"/>
    </row>
    <row r="26" customFormat="false" ht="64.5" hidden="false" customHeight="true" outlineLevel="0" collapsed="false">
      <c r="A26" s="3" t="s">
        <v>367</v>
      </c>
      <c r="B26" s="3" t="s">
        <v>63</v>
      </c>
      <c r="C26" s="4" t="s">
        <v>313</v>
      </c>
      <c r="D26" s="4" t="s">
        <v>314</v>
      </c>
      <c r="E26" s="4" t="s">
        <v>315</v>
      </c>
      <c r="F26" s="4" t="s">
        <v>316</v>
      </c>
      <c r="G26" s="4" t="s">
        <v>317</v>
      </c>
      <c r="H26" s="3" t="s">
        <v>62</v>
      </c>
      <c r="I26" s="4" t="s">
        <v>318</v>
      </c>
      <c r="J26" s="4" t="s">
        <v>319</v>
      </c>
      <c r="K26" s="3"/>
      <c r="L26" s="3"/>
      <c r="M26" s="3"/>
      <c r="N26" s="3"/>
    </row>
    <row r="27" customFormat="false" ht="64.5" hidden="false" customHeight="true" outlineLevel="0" collapsed="false">
      <c r="A27" s="3" t="s">
        <v>368</v>
      </c>
      <c r="B27" s="3" t="s">
        <v>63</v>
      </c>
      <c r="C27" s="4" t="s">
        <v>321</v>
      </c>
      <c r="D27" s="4" t="s">
        <v>322</v>
      </c>
      <c r="E27" s="4" t="s">
        <v>323</v>
      </c>
      <c r="F27" s="4" t="s">
        <v>324</v>
      </c>
      <c r="G27" s="4" t="s">
        <v>317</v>
      </c>
      <c r="H27" s="3" t="s">
        <v>62</v>
      </c>
      <c r="I27" s="4" t="s">
        <v>318</v>
      </c>
      <c r="J27" s="4" t="s">
        <v>319</v>
      </c>
      <c r="K27" s="3"/>
      <c r="L27" s="3"/>
      <c r="M27" s="3"/>
      <c r="N27" s="3"/>
    </row>
    <row r="28" customFormat="false" ht="64.5" hidden="false" customHeight="true" outlineLevel="0" collapsed="false">
      <c r="A28" s="3" t="s">
        <v>369</v>
      </c>
      <c r="B28" s="3" t="s">
        <v>63</v>
      </c>
      <c r="C28" s="4" t="s">
        <v>321</v>
      </c>
      <c r="D28" s="4" t="s">
        <v>326</v>
      </c>
      <c r="E28" s="4" t="s">
        <v>327</v>
      </c>
      <c r="F28" s="4" t="s">
        <v>328</v>
      </c>
      <c r="G28" s="4" t="s">
        <v>317</v>
      </c>
      <c r="H28" s="3" t="s">
        <v>62</v>
      </c>
      <c r="I28" s="4" t="s">
        <v>318</v>
      </c>
      <c r="J28" s="4" t="s">
        <v>319</v>
      </c>
      <c r="K28" s="3"/>
      <c r="L28" s="3"/>
      <c r="M28" s="3"/>
      <c r="N28" s="3"/>
    </row>
    <row r="29" customFormat="false" ht="64.5" hidden="false" customHeight="true" outlineLevel="0" collapsed="false">
      <c r="A29" s="3" t="s">
        <v>370</v>
      </c>
      <c r="B29" s="3" t="s">
        <v>63</v>
      </c>
      <c r="C29" s="4" t="s">
        <v>321</v>
      </c>
      <c r="D29" s="4" t="s">
        <v>330</v>
      </c>
      <c r="E29" s="4" t="s">
        <v>331</v>
      </c>
      <c r="F29" s="4" t="s">
        <v>332</v>
      </c>
      <c r="G29" s="4" t="s">
        <v>317</v>
      </c>
      <c r="H29" s="3" t="s">
        <v>62</v>
      </c>
      <c r="I29" s="4" t="s">
        <v>318</v>
      </c>
      <c r="J29" s="4" t="s">
        <v>319</v>
      </c>
      <c r="K29" s="3"/>
      <c r="L29" s="3"/>
      <c r="M29" s="3"/>
      <c r="N29" s="3"/>
    </row>
    <row r="30" customFormat="false" ht="64.5" hidden="false" customHeight="true" outlineLevel="0" collapsed="false">
      <c r="A30" s="3" t="s">
        <v>371</v>
      </c>
      <c r="B30" s="3" t="s">
        <v>63</v>
      </c>
      <c r="C30" s="4" t="s">
        <v>321</v>
      </c>
      <c r="D30" s="4" t="s">
        <v>334</v>
      </c>
      <c r="E30" s="4" t="s">
        <v>335</v>
      </c>
      <c r="F30" s="4" t="s">
        <v>336</v>
      </c>
      <c r="G30" s="4" t="s">
        <v>317</v>
      </c>
      <c r="H30" s="3" t="s">
        <v>62</v>
      </c>
      <c r="I30" s="4" t="s">
        <v>318</v>
      </c>
      <c r="J30" s="4" t="s">
        <v>319</v>
      </c>
      <c r="K30" s="3"/>
      <c r="L30" s="3"/>
      <c r="M30" s="3"/>
      <c r="N30" s="3"/>
    </row>
    <row r="31" customFormat="false" ht="64.5" hidden="false" customHeight="true" outlineLevel="0" collapsed="false">
      <c r="A31" s="3" t="s">
        <v>372</v>
      </c>
      <c r="B31" s="3" t="s">
        <v>63</v>
      </c>
      <c r="C31" s="4" t="s">
        <v>313</v>
      </c>
      <c r="D31" s="4" t="s">
        <v>338</v>
      </c>
      <c r="E31" s="4" t="s">
        <v>339</v>
      </c>
      <c r="F31" s="4" t="s">
        <v>340</v>
      </c>
      <c r="G31" s="4" t="s">
        <v>317</v>
      </c>
      <c r="H31" s="3" t="s">
        <v>62</v>
      </c>
      <c r="I31" s="4" t="s">
        <v>318</v>
      </c>
      <c r="J31" s="4" t="s">
        <v>319</v>
      </c>
      <c r="K31" s="3"/>
      <c r="L31" s="3"/>
      <c r="M31" s="3"/>
      <c r="N31" s="3"/>
    </row>
    <row r="32" customFormat="false" ht="64.5" hidden="false" customHeight="true" outlineLevel="0" collapsed="false">
      <c r="A32" s="3" t="s">
        <v>373</v>
      </c>
      <c r="B32" s="3" t="s">
        <v>63</v>
      </c>
      <c r="C32" s="4" t="s">
        <v>313</v>
      </c>
      <c r="D32" s="4" t="s">
        <v>342</v>
      </c>
      <c r="E32" s="4" t="s">
        <v>343</v>
      </c>
      <c r="F32" s="4" t="s">
        <v>344</v>
      </c>
      <c r="G32" s="4" t="s">
        <v>317</v>
      </c>
      <c r="H32" s="3" t="s">
        <v>62</v>
      </c>
      <c r="I32" s="4" t="s">
        <v>318</v>
      </c>
      <c r="J32" s="4" t="s">
        <v>319</v>
      </c>
      <c r="K32" s="3"/>
      <c r="L32" s="3"/>
      <c r="M32" s="3"/>
      <c r="N32" s="3"/>
    </row>
    <row r="33" customFormat="false" ht="64.5" hidden="false" customHeight="true" outlineLevel="0" collapsed="false">
      <c r="A33" s="3" t="s">
        <v>374</v>
      </c>
      <c r="B33" s="3" t="s">
        <v>63</v>
      </c>
      <c r="C33" s="4" t="s">
        <v>346</v>
      </c>
      <c r="D33" s="4" t="s">
        <v>347</v>
      </c>
      <c r="E33" s="4" t="s">
        <v>348</v>
      </c>
      <c r="F33" s="4" t="s">
        <v>349</v>
      </c>
      <c r="G33" s="4" t="s">
        <v>317</v>
      </c>
      <c r="H33" s="3" t="s">
        <v>62</v>
      </c>
      <c r="I33" s="4" t="s">
        <v>350</v>
      </c>
      <c r="J33" s="4" t="s">
        <v>319</v>
      </c>
      <c r="K33" s="3"/>
      <c r="L33" s="3"/>
      <c r="M33" s="3"/>
      <c r="N33" s="3"/>
    </row>
    <row r="34" customFormat="false" ht="64.5" hidden="false" customHeight="true" outlineLevel="0" collapsed="false">
      <c r="A34" s="3" t="s">
        <v>375</v>
      </c>
      <c r="B34" s="3" t="s">
        <v>69</v>
      </c>
      <c r="C34" s="4" t="s">
        <v>313</v>
      </c>
      <c r="D34" s="4" t="s">
        <v>314</v>
      </c>
      <c r="E34" s="4" t="s">
        <v>315</v>
      </c>
      <c r="F34" s="4" t="s">
        <v>316</v>
      </c>
      <c r="G34" s="4" t="s">
        <v>317</v>
      </c>
      <c r="H34" s="3" t="s">
        <v>62</v>
      </c>
      <c r="I34" s="4" t="s">
        <v>318</v>
      </c>
      <c r="J34" s="4" t="s">
        <v>319</v>
      </c>
      <c r="K34" s="3"/>
      <c r="L34" s="3"/>
      <c r="M34" s="3"/>
      <c r="N34" s="3"/>
    </row>
    <row r="35" customFormat="false" ht="64.5" hidden="false" customHeight="true" outlineLevel="0" collapsed="false">
      <c r="A35" s="3" t="s">
        <v>376</v>
      </c>
      <c r="B35" s="3" t="s">
        <v>69</v>
      </c>
      <c r="C35" s="4" t="s">
        <v>321</v>
      </c>
      <c r="D35" s="4" t="s">
        <v>322</v>
      </c>
      <c r="E35" s="4" t="s">
        <v>323</v>
      </c>
      <c r="F35" s="4" t="s">
        <v>324</v>
      </c>
      <c r="G35" s="4" t="s">
        <v>317</v>
      </c>
      <c r="H35" s="3" t="s">
        <v>62</v>
      </c>
      <c r="I35" s="4" t="s">
        <v>318</v>
      </c>
      <c r="J35" s="4" t="s">
        <v>319</v>
      </c>
      <c r="K35" s="3"/>
      <c r="L35" s="3"/>
      <c r="M35" s="3"/>
      <c r="N35" s="3"/>
    </row>
    <row r="36" customFormat="false" ht="64.5" hidden="false" customHeight="true" outlineLevel="0" collapsed="false">
      <c r="A36" s="3" t="s">
        <v>377</v>
      </c>
      <c r="B36" s="3" t="s">
        <v>69</v>
      </c>
      <c r="C36" s="4" t="s">
        <v>321</v>
      </c>
      <c r="D36" s="4" t="s">
        <v>326</v>
      </c>
      <c r="E36" s="4" t="s">
        <v>327</v>
      </c>
      <c r="F36" s="4" t="s">
        <v>328</v>
      </c>
      <c r="G36" s="4" t="s">
        <v>317</v>
      </c>
      <c r="H36" s="3" t="s">
        <v>62</v>
      </c>
      <c r="I36" s="4" t="s">
        <v>318</v>
      </c>
      <c r="J36" s="4" t="s">
        <v>319</v>
      </c>
      <c r="K36" s="3"/>
      <c r="L36" s="3"/>
      <c r="M36" s="3"/>
      <c r="N36" s="3"/>
    </row>
    <row r="37" customFormat="false" ht="64.5" hidden="false" customHeight="true" outlineLevel="0" collapsed="false">
      <c r="A37" s="3" t="s">
        <v>378</v>
      </c>
      <c r="B37" s="3" t="s">
        <v>69</v>
      </c>
      <c r="C37" s="4" t="s">
        <v>321</v>
      </c>
      <c r="D37" s="4" t="s">
        <v>330</v>
      </c>
      <c r="E37" s="4" t="s">
        <v>331</v>
      </c>
      <c r="F37" s="4" t="s">
        <v>332</v>
      </c>
      <c r="G37" s="4" t="s">
        <v>317</v>
      </c>
      <c r="H37" s="3" t="s">
        <v>62</v>
      </c>
      <c r="I37" s="4" t="s">
        <v>318</v>
      </c>
      <c r="J37" s="4" t="s">
        <v>319</v>
      </c>
      <c r="K37" s="3"/>
      <c r="L37" s="3"/>
      <c r="M37" s="3"/>
      <c r="N37" s="3"/>
    </row>
    <row r="38" customFormat="false" ht="64.5" hidden="false" customHeight="true" outlineLevel="0" collapsed="false">
      <c r="A38" s="3" t="s">
        <v>379</v>
      </c>
      <c r="B38" s="3" t="s">
        <v>69</v>
      </c>
      <c r="C38" s="4" t="s">
        <v>321</v>
      </c>
      <c r="D38" s="4" t="s">
        <v>334</v>
      </c>
      <c r="E38" s="4" t="s">
        <v>335</v>
      </c>
      <c r="F38" s="4" t="s">
        <v>336</v>
      </c>
      <c r="G38" s="4" t="s">
        <v>317</v>
      </c>
      <c r="H38" s="3" t="s">
        <v>62</v>
      </c>
      <c r="I38" s="4" t="s">
        <v>318</v>
      </c>
      <c r="J38" s="4" t="s">
        <v>319</v>
      </c>
      <c r="K38" s="3"/>
      <c r="L38" s="3"/>
      <c r="M38" s="3"/>
      <c r="N38" s="3"/>
    </row>
    <row r="39" customFormat="false" ht="64.5" hidden="false" customHeight="true" outlineLevel="0" collapsed="false">
      <c r="A39" s="3" t="s">
        <v>380</v>
      </c>
      <c r="B39" s="3" t="s">
        <v>69</v>
      </c>
      <c r="C39" s="4" t="s">
        <v>313</v>
      </c>
      <c r="D39" s="4" t="s">
        <v>338</v>
      </c>
      <c r="E39" s="4" t="s">
        <v>339</v>
      </c>
      <c r="F39" s="4" t="s">
        <v>340</v>
      </c>
      <c r="G39" s="4" t="s">
        <v>317</v>
      </c>
      <c r="H39" s="3" t="s">
        <v>62</v>
      </c>
      <c r="I39" s="4" t="s">
        <v>318</v>
      </c>
      <c r="J39" s="4" t="s">
        <v>319</v>
      </c>
      <c r="K39" s="3"/>
      <c r="L39" s="3"/>
      <c r="M39" s="3"/>
      <c r="N39" s="3"/>
    </row>
    <row r="40" customFormat="false" ht="64.5" hidden="false" customHeight="true" outlineLevel="0" collapsed="false">
      <c r="A40" s="3" t="s">
        <v>381</v>
      </c>
      <c r="B40" s="3" t="s">
        <v>69</v>
      </c>
      <c r="C40" s="4" t="s">
        <v>313</v>
      </c>
      <c r="D40" s="4" t="s">
        <v>342</v>
      </c>
      <c r="E40" s="4" t="s">
        <v>343</v>
      </c>
      <c r="F40" s="4" t="s">
        <v>344</v>
      </c>
      <c r="G40" s="4" t="s">
        <v>317</v>
      </c>
      <c r="H40" s="3" t="s">
        <v>62</v>
      </c>
      <c r="I40" s="4" t="s">
        <v>318</v>
      </c>
      <c r="J40" s="4" t="s">
        <v>319</v>
      </c>
      <c r="K40" s="3"/>
      <c r="L40" s="3"/>
      <c r="M40" s="3"/>
      <c r="N40" s="3"/>
    </row>
    <row r="41" customFormat="false" ht="64.5" hidden="false" customHeight="true" outlineLevel="0" collapsed="false">
      <c r="A41" s="3" t="s">
        <v>382</v>
      </c>
      <c r="B41" s="3" t="s">
        <v>69</v>
      </c>
      <c r="C41" s="4" t="s">
        <v>346</v>
      </c>
      <c r="D41" s="4" t="s">
        <v>347</v>
      </c>
      <c r="E41" s="4" t="s">
        <v>77</v>
      </c>
      <c r="F41" s="4" t="s">
        <v>349</v>
      </c>
      <c r="G41" s="4" t="s">
        <v>317</v>
      </c>
      <c r="H41" s="3" t="s">
        <v>62</v>
      </c>
      <c r="I41" s="4" t="s">
        <v>350</v>
      </c>
      <c r="J41" s="4" t="s">
        <v>319</v>
      </c>
      <c r="K41" s="3"/>
      <c r="L41" s="3"/>
      <c r="M41" s="3"/>
      <c r="N41" s="3"/>
    </row>
    <row r="42" customFormat="false" ht="64.5" hidden="false" customHeight="true" outlineLevel="0" collapsed="false">
      <c r="A42" s="3" t="s">
        <v>383</v>
      </c>
      <c r="B42" s="3" t="s">
        <v>78</v>
      </c>
      <c r="C42" s="4" t="s">
        <v>313</v>
      </c>
      <c r="D42" s="4" t="s">
        <v>314</v>
      </c>
      <c r="E42" s="4" t="s">
        <v>315</v>
      </c>
      <c r="F42" s="4" t="s">
        <v>316</v>
      </c>
      <c r="G42" s="4" t="s">
        <v>317</v>
      </c>
      <c r="H42" s="3" t="s">
        <v>62</v>
      </c>
      <c r="I42" s="4" t="s">
        <v>318</v>
      </c>
      <c r="J42" s="4" t="s">
        <v>319</v>
      </c>
      <c r="K42" s="3"/>
      <c r="L42" s="3"/>
      <c r="M42" s="3"/>
      <c r="N42" s="3"/>
    </row>
    <row r="43" customFormat="false" ht="64.5" hidden="false" customHeight="true" outlineLevel="0" collapsed="false">
      <c r="A43" s="3" t="s">
        <v>384</v>
      </c>
      <c r="B43" s="3" t="s">
        <v>78</v>
      </c>
      <c r="C43" s="4" t="s">
        <v>321</v>
      </c>
      <c r="D43" s="4" t="s">
        <v>322</v>
      </c>
      <c r="E43" s="4" t="s">
        <v>323</v>
      </c>
      <c r="F43" s="4" t="s">
        <v>324</v>
      </c>
      <c r="G43" s="4" t="s">
        <v>317</v>
      </c>
      <c r="H43" s="3" t="s">
        <v>62</v>
      </c>
      <c r="I43" s="4" t="s">
        <v>318</v>
      </c>
      <c r="J43" s="4" t="s">
        <v>319</v>
      </c>
      <c r="K43" s="3"/>
      <c r="L43" s="3"/>
      <c r="M43" s="3"/>
      <c r="N43" s="3"/>
    </row>
    <row r="44" customFormat="false" ht="64.5" hidden="false" customHeight="true" outlineLevel="0" collapsed="false">
      <c r="A44" s="3" t="s">
        <v>385</v>
      </c>
      <c r="B44" s="3" t="s">
        <v>78</v>
      </c>
      <c r="C44" s="4" t="s">
        <v>321</v>
      </c>
      <c r="D44" s="4" t="s">
        <v>326</v>
      </c>
      <c r="E44" s="4" t="s">
        <v>327</v>
      </c>
      <c r="F44" s="4" t="s">
        <v>328</v>
      </c>
      <c r="G44" s="4" t="s">
        <v>317</v>
      </c>
      <c r="H44" s="3" t="s">
        <v>62</v>
      </c>
      <c r="I44" s="4" t="s">
        <v>318</v>
      </c>
      <c r="J44" s="4" t="s">
        <v>319</v>
      </c>
      <c r="K44" s="3"/>
      <c r="L44" s="3"/>
      <c r="M44" s="3"/>
      <c r="N44" s="3"/>
    </row>
    <row r="45" customFormat="false" ht="64.5" hidden="false" customHeight="true" outlineLevel="0" collapsed="false">
      <c r="A45" s="3" t="s">
        <v>386</v>
      </c>
      <c r="B45" s="3" t="s">
        <v>78</v>
      </c>
      <c r="C45" s="4" t="s">
        <v>321</v>
      </c>
      <c r="D45" s="4" t="s">
        <v>330</v>
      </c>
      <c r="E45" s="4" t="s">
        <v>331</v>
      </c>
      <c r="F45" s="4" t="s">
        <v>332</v>
      </c>
      <c r="G45" s="4" t="s">
        <v>317</v>
      </c>
      <c r="H45" s="3" t="s">
        <v>62</v>
      </c>
      <c r="I45" s="4" t="s">
        <v>318</v>
      </c>
      <c r="J45" s="4" t="s">
        <v>319</v>
      </c>
      <c r="K45" s="3"/>
      <c r="L45" s="3"/>
      <c r="M45" s="3"/>
      <c r="N45" s="3"/>
    </row>
    <row r="46" customFormat="false" ht="64.5" hidden="false" customHeight="true" outlineLevel="0" collapsed="false">
      <c r="A46" s="3" t="s">
        <v>387</v>
      </c>
      <c r="B46" s="3" t="s">
        <v>78</v>
      </c>
      <c r="C46" s="4" t="s">
        <v>321</v>
      </c>
      <c r="D46" s="4" t="s">
        <v>334</v>
      </c>
      <c r="E46" s="4" t="s">
        <v>335</v>
      </c>
      <c r="F46" s="4" t="s">
        <v>336</v>
      </c>
      <c r="G46" s="4" t="s">
        <v>317</v>
      </c>
      <c r="H46" s="3" t="s">
        <v>62</v>
      </c>
      <c r="I46" s="4" t="s">
        <v>318</v>
      </c>
      <c r="J46" s="4" t="s">
        <v>319</v>
      </c>
      <c r="K46" s="3"/>
      <c r="L46" s="3"/>
      <c r="M46" s="3"/>
      <c r="N46" s="3"/>
    </row>
    <row r="47" customFormat="false" ht="64.5" hidden="false" customHeight="true" outlineLevel="0" collapsed="false">
      <c r="A47" s="3" t="s">
        <v>388</v>
      </c>
      <c r="B47" s="3" t="s">
        <v>78</v>
      </c>
      <c r="C47" s="4" t="s">
        <v>313</v>
      </c>
      <c r="D47" s="4" t="s">
        <v>338</v>
      </c>
      <c r="E47" s="4" t="s">
        <v>339</v>
      </c>
      <c r="F47" s="4" t="s">
        <v>340</v>
      </c>
      <c r="G47" s="4" t="s">
        <v>317</v>
      </c>
      <c r="H47" s="3" t="s">
        <v>62</v>
      </c>
      <c r="I47" s="4" t="s">
        <v>318</v>
      </c>
      <c r="J47" s="4" t="s">
        <v>319</v>
      </c>
      <c r="K47" s="3"/>
      <c r="L47" s="3"/>
      <c r="M47" s="3"/>
      <c r="N47" s="3"/>
    </row>
    <row r="48" customFormat="false" ht="64.5" hidden="false" customHeight="true" outlineLevel="0" collapsed="false">
      <c r="A48" s="3" t="s">
        <v>389</v>
      </c>
      <c r="B48" s="3" t="s">
        <v>78</v>
      </c>
      <c r="C48" s="4" t="s">
        <v>313</v>
      </c>
      <c r="D48" s="4" t="s">
        <v>342</v>
      </c>
      <c r="E48" s="4" t="s">
        <v>343</v>
      </c>
      <c r="F48" s="4" t="s">
        <v>344</v>
      </c>
      <c r="G48" s="4" t="s">
        <v>317</v>
      </c>
      <c r="H48" s="3" t="s">
        <v>62</v>
      </c>
      <c r="I48" s="4" t="s">
        <v>318</v>
      </c>
      <c r="J48" s="4" t="s">
        <v>319</v>
      </c>
      <c r="K48" s="3"/>
      <c r="L48" s="3"/>
      <c r="M48" s="3"/>
      <c r="N48" s="3"/>
    </row>
    <row r="49" customFormat="false" ht="64.5" hidden="false" customHeight="true" outlineLevel="0" collapsed="false">
      <c r="A49" s="3" t="s">
        <v>390</v>
      </c>
      <c r="B49" s="3" t="s">
        <v>78</v>
      </c>
      <c r="C49" s="4" t="s">
        <v>346</v>
      </c>
      <c r="D49" s="4" t="s">
        <v>347</v>
      </c>
      <c r="E49" s="4" t="s">
        <v>83</v>
      </c>
      <c r="F49" s="4" t="s">
        <v>349</v>
      </c>
      <c r="G49" s="4" t="s">
        <v>317</v>
      </c>
      <c r="H49" s="3" t="s">
        <v>62</v>
      </c>
      <c r="I49" s="4" t="s">
        <v>350</v>
      </c>
      <c r="J49" s="4" t="s">
        <v>319</v>
      </c>
      <c r="K49" s="3"/>
      <c r="L49" s="3"/>
      <c r="M49" s="3"/>
      <c r="N49" s="3"/>
    </row>
    <row r="50" customFormat="false" ht="64.5" hidden="false" customHeight="true" outlineLevel="0" collapsed="false">
      <c r="A50" s="3" t="s">
        <v>391</v>
      </c>
      <c r="B50" s="3" t="s">
        <v>84</v>
      </c>
      <c r="C50" s="4" t="s">
        <v>313</v>
      </c>
      <c r="D50" s="4" t="s">
        <v>314</v>
      </c>
      <c r="E50" s="4" t="s">
        <v>315</v>
      </c>
      <c r="F50" s="4" t="s">
        <v>316</v>
      </c>
      <c r="G50" s="4" t="s">
        <v>317</v>
      </c>
      <c r="H50" s="3" t="s">
        <v>62</v>
      </c>
      <c r="I50" s="4" t="s">
        <v>318</v>
      </c>
      <c r="J50" s="4" t="s">
        <v>319</v>
      </c>
      <c r="K50" s="3"/>
      <c r="L50" s="3"/>
      <c r="M50" s="3"/>
      <c r="N50" s="3"/>
    </row>
    <row r="51" customFormat="false" ht="64.5" hidden="false" customHeight="true" outlineLevel="0" collapsed="false">
      <c r="A51" s="3" t="s">
        <v>392</v>
      </c>
      <c r="B51" s="3" t="s">
        <v>84</v>
      </c>
      <c r="C51" s="4" t="s">
        <v>321</v>
      </c>
      <c r="D51" s="4" t="s">
        <v>322</v>
      </c>
      <c r="E51" s="4" t="s">
        <v>323</v>
      </c>
      <c r="F51" s="4" t="s">
        <v>324</v>
      </c>
      <c r="G51" s="4" t="s">
        <v>317</v>
      </c>
      <c r="H51" s="3" t="s">
        <v>62</v>
      </c>
      <c r="I51" s="4" t="s">
        <v>318</v>
      </c>
      <c r="J51" s="4" t="s">
        <v>319</v>
      </c>
      <c r="K51" s="3"/>
      <c r="L51" s="3"/>
      <c r="M51" s="3"/>
      <c r="N51" s="3"/>
    </row>
    <row r="52" customFormat="false" ht="64.5" hidden="false" customHeight="true" outlineLevel="0" collapsed="false">
      <c r="A52" s="3" t="s">
        <v>393</v>
      </c>
      <c r="B52" s="3" t="s">
        <v>84</v>
      </c>
      <c r="C52" s="4" t="s">
        <v>321</v>
      </c>
      <c r="D52" s="4" t="s">
        <v>326</v>
      </c>
      <c r="E52" s="4" t="s">
        <v>327</v>
      </c>
      <c r="F52" s="4" t="s">
        <v>328</v>
      </c>
      <c r="G52" s="4" t="s">
        <v>317</v>
      </c>
      <c r="H52" s="3" t="s">
        <v>62</v>
      </c>
      <c r="I52" s="4" t="s">
        <v>318</v>
      </c>
      <c r="J52" s="4" t="s">
        <v>319</v>
      </c>
      <c r="K52" s="3"/>
      <c r="L52" s="3"/>
      <c r="M52" s="3"/>
      <c r="N52" s="3"/>
    </row>
    <row r="53" customFormat="false" ht="64.5" hidden="false" customHeight="true" outlineLevel="0" collapsed="false">
      <c r="A53" s="3" t="s">
        <v>394</v>
      </c>
      <c r="B53" s="3" t="s">
        <v>84</v>
      </c>
      <c r="C53" s="4" t="s">
        <v>321</v>
      </c>
      <c r="D53" s="4" t="s">
        <v>330</v>
      </c>
      <c r="E53" s="4" t="s">
        <v>331</v>
      </c>
      <c r="F53" s="4" t="s">
        <v>332</v>
      </c>
      <c r="G53" s="4" t="s">
        <v>317</v>
      </c>
      <c r="H53" s="3" t="s">
        <v>62</v>
      </c>
      <c r="I53" s="4" t="s">
        <v>318</v>
      </c>
      <c r="J53" s="4" t="s">
        <v>319</v>
      </c>
      <c r="K53" s="3"/>
      <c r="L53" s="3"/>
      <c r="M53" s="3"/>
      <c r="N53" s="3"/>
    </row>
    <row r="54" customFormat="false" ht="64.5" hidden="false" customHeight="true" outlineLevel="0" collapsed="false">
      <c r="A54" s="3" t="s">
        <v>395</v>
      </c>
      <c r="B54" s="3" t="s">
        <v>84</v>
      </c>
      <c r="C54" s="4" t="s">
        <v>321</v>
      </c>
      <c r="D54" s="4" t="s">
        <v>334</v>
      </c>
      <c r="E54" s="4" t="s">
        <v>335</v>
      </c>
      <c r="F54" s="4" t="s">
        <v>336</v>
      </c>
      <c r="G54" s="4" t="s">
        <v>317</v>
      </c>
      <c r="H54" s="3" t="s">
        <v>62</v>
      </c>
      <c r="I54" s="4" t="s">
        <v>318</v>
      </c>
      <c r="J54" s="4" t="s">
        <v>319</v>
      </c>
      <c r="K54" s="3"/>
      <c r="L54" s="3"/>
      <c r="M54" s="3"/>
      <c r="N54" s="3"/>
    </row>
    <row r="55" customFormat="false" ht="64.5" hidden="false" customHeight="true" outlineLevel="0" collapsed="false">
      <c r="A55" s="3" t="s">
        <v>396</v>
      </c>
      <c r="B55" s="3" t="s">
        <v>84</v>
      </c>
      <c r="C55" s="4" t="s">
        <v>313</v>
      </c>
      <c r="D55" s="4" t="s">
        <v>338</v>
      </c>
      <c r="E55" s="4" t="s">
        <v>339</v>
      </c>
      <c r="F55" s="4" t="s">
        <v>340</v>
      </c>
      <c r="G55" s="4" t="s">
        <v>317</v>
      </c>
      <c r="H55" s="3" t="s">
        <v>62</v>
      </c>
      <c r="I55" s="4" t="s">
        <v>318</v>
      </c>
      <c r="J55" s="4" t="s">
        <v>319</v>
      </c>
      <c r="K55" s="3"/>
      <c r="L55" s="3"/>
      <c r="M55" s="3"/>
      <c r="N55" s="3"/>
    </row>
    <row r="56" customFormat="false" ht="64.5" hidden="false" customHeight="true" outlineLevel="0" collapsed="false">
      <c r="A56" s="3" t="s">
        <v>397</v>
      </c>
      <c r="B56" s="3" t="s">
        <v>84</v>
      </c>
      <c r="C56" s="4" t="s">
        <v>313</v>
      </c>
      <c r="D56" s="4" t="s">
        <v>342</v>
      </c>
      <c r="E56" s="4" t="s">
        <v>343</v>
      </c>
      <c r="F56" s="4" t="s">
        <v>344</v>
      </c>
      <c r="G56" s="4" t="s">
        <v>317</v>
      </c>
      <c r="H56" s="3" t="s">
        <v>62</v>
      </c>
      <c r="I56" s="4" t="s">
        <v>318</v>
      </c>
      <c r="J56" s="4" t="s">
        <v>319</v>
      </c>
      <c r="K56" s="3"/>
      <c r="L56" s="3"/>
      <c r="M56" s="3"/>
      <c r="N56" s="3"/>
    </row>
    <row r="57" customFormat="false" ht="64.5" hidden="false" customHeight="true" outlineLevel="0" collapsed="false">
      <c r="A57" s="3" t="s">
        <v>398</v>
      </c>
      <c r="B57" s="3" t="s">
        <v>84</v>
      </c>
      <c r="C57" s="4" t="s">
        <v>346</v>
      </c>
      <c r="D57" s="4" t="s">
        <v>347</v>
      </c>
      <c r="E57" s="4" t="s">
        <v>93</v>
      </c>
      <c r="F57" s="4" t="s">
        <v>349</v>
      </c>
      <c r="G57" s="4" t="s">
        <v>317</v>
      </c>
      <c r="H57" s="3" t="s">
        <v>62</v>
      </c>
      <c r="I57" s="4" t="s">
        <v>350</v>
      </c>
      <c r="J57" s="4" t="s">
        <v>319</v>
      </c>
      <c r="K57" s="3"/>
      <c r="L57" s="3"/>
      <c r="M57" s="3"/>
      <c r="N57" s="3"/>
    </row>
    <row r="58" customFormat="false" ht="64.5" hidden="false" customHeight="true" outlineLevel="0" collapsed="false">
      <c r="A58" s="3" t="s">
        <v>399</v>
      </c>
      <c r="B58" s="3" t="s">
        <v>94</v>
      </c>
      <c r="C58" s="4" t="s">
        <v>313</v>
      </c>
      <c r="D58" s="4" t="s">
        <v>314</v>
      </c>
      <c r="E58" s="4" t="s">
        <v>315</v>
      </c>
      <c r="F58" s="4" t="s">
        <v>316</v>
      </c>
      <c r="G58" s="4" t="s">
        <v>317</v>
      </c>
      <c r="H58" s="3" t="s">
        <v>62</v>
      </c>
      <c r="I58" s="4" t="s">
        <v>318</v>
      </c>
      <c r="J58" s="4" t="s">
        <v>319</v>
      </c>
      <c r="K58" s="3"/>
      <c r="L58" s="3"/>
      <c r="M58" s="3"/>
      <c r="N58" s="3"/>
    </row>
    <row r="59" customFormat="false" ht="64.5" hidden="false" customHeight="true" outlineLevel="0" collapsed="false">
      <c r="A59" s="3" t="s">
        <v>400</v>
      </c>
      <c r="B59" s="3" t="s">
        <v>94</v>
      </c>
      <c r="C59" s="4" t="s">
        <v>321</v>
      </c>
      <c r="D59" s="4" t="s">
        <v>322</v>
      </c>
      <c r="E59" s="4" t="s">
        <v>323</v>
      </c>
      <c r="F59" s="4" t="s">
        <v>324</v>
      </c>
      <c r="G59" s="4" t="s">
        <v>317</v>
      </c>
      <c r="H59" s="3" t="s">
        <v>62</v>
      </c>
      <c r="I59" s="4" t="s">
        <v>318</v>
      </c>
      <c r="J59" s="4" t="s">
        <v>319</v>
      </c>
      <c r="K59" s="3"/>
      <c r="L59" s="3"/>
      <c r="M59" s="3"/>
      <c r="N59" s="3"/>
    </row>
    <row r="60" customFormat="false" ht="64.5" hidden="false" customHeight="true" outlineLevel="0" collapsed="false">
      <c r="A60" s="3" t="s">
        <v>401</v>
      </c>
      <c r="B60" s="3" t="s">
        <v>94</v>
      </c>
      <c r="C60" s="4" t="s">
        <v>321</v>
      </c>
      <c r="D60" s="4" t="s">
        <v>326</v>
      </c>
      <c r="E60" s="4" t="s">
        <v>327</v>
      </c>
      <c r="F60" s="4" t="s">
        <v>328</v>
      </c>
      <c r="G60" s="4" t="s">
        <v>317</v>
      </c>
      <c r="H60" s="3" t="s">
        <v>62</v>
      </c>
      <c r="I60" s="4" t="s">
        <v>318</v>
      </c>
      <c r="J60" s="4" t="s">
        <v>319</v>
      </c>
      <c r="K60" s="3"/>
      <c r="L60" s="3"/>
      <c r="M60" s="3"/>
      <c r="N60" s="3"/>
    </row>
    <row r="61" customFormat="false" ht="64.5" hidden="false" customHeight="true" outlineLevel="0" collapsed="false">
      <c r="A61" s="3" t="s">
        <v>402</v>
      </c>
      <c r="B61" s="3" t="s">
        <v>94</v>
      </c>
      <c r="C61" s="4" t="s">
        <v>321</v>
      </c>
      <c r="D61" s="4" t="s">
        <v>330</v>
      </c>
      <c r="E61" s="4" t="s">
        <v>331</v>
      </c>
      <c r="F61" s="4" t="s">
        <v>332</v>
      </c>
      <c r="G61" s="4" t="s">
        <v>317</v>
      </c>
      <c r="H61" s="3" t="s">
        <v>62</v>
      </c>
      <c r="I61" s="4" t="s">
        <v>318</v>
      </c>
      <c r="J61" s="4" t="s">
        <v>319</v>
      </c>
      <c r="K61" s="3"/>
      <c r="L61" s="3"/>
      <c r="M61" s="3"/>
      <c r="N61" s="3"/>
    </row>
    <row r="62" customFormat="false" ht="64.5" hidden="false" customHeight="true" outlineLevel="0" collapsed="false">
      <c r="A62" s="3" t="s">
        <v>403</v>
      </c>
      <c r="B62" s="3" t="s">
        <v>94</v>
      </c>
      <c r="C62" s="4" t="s">
        <v>321</v>
      </c>
      <c r="D62" s="4" t="s">
        <v>334</v>
      </c>
      <c r="E62" s="4" t="s">
        <v>335</v>
      </c>
      <c r="F62" s="4" t="s">
        <v>336</v>
      </c>
      <c r="G62" s="4" t="s">
        <v>317</v>
      </c>
      <c r="H62" s="3" t="s">
        <v>62</v>
      </c>
      <c r="I62" s="4" t="s">
        <v>318</v>
      </c>
      <c r="J62" s="4" t="s">
        <v>319</v>
      </c>
      <c r="K62" s="3"/>
      <c r="L62" s="3"/>
      <c r="M62" s="3"/>
      <c r="N62" s="3"/>
    </row>
    <row r="63" customFormat="false" ht="64.5" hidden="false" customHeight="true" outlineLevel="0" collapsed="false">
      <c r="A63" s="3" t="s">
        <v>404</v>
      </c>
      <c r="B63" s="3" t="s">
        <v>94</v>
      </c>
      <c r="C63" s="4" t="s">
        <v>313</v>
      </c>
      <c r="D63" s="4" t="s">
        <v>338</v>
      </c>
      <c r="E63" s="4" t="s">
        <v>339</v>
      </c>
      <c r="F63" s="4" t="s">
        <v>340</v>
      </c>
      <c r="G63" s="4" t="s">
        <v>317</v>
      </c>
      <c r="H63" s="3" t="s">
        <v>62</v>
      </c>
      <c r="I63" s="4" t="s">
        <v>318</v>
      </c>
      <c r="J63" s="4" t="s">
        <v>319</v>
      </c>
      <c r="K63" s="3"/>
      <c r="L63" s="3"/>
      <c r="M63" s="3"/>
      <c r="N63" s="3"/>
    </row>
    <row r="64" customFormat="false" ht="64.5" hidden="false" customHeight="true" outlineLevel="0" collapsed="false">
      <c r="A64" s="3" t="s">
        <v>405</v>
      </c>
      <c r="B64" s="3" t="s">
        <v>94</v>
      </c>
      <c r="C64" s="4" t="s">
        <v>313</v>
      </c>
      <c r="D64" s="4" t="s">
        <v>342</v>
      </c>
      <c r="E64" s="4" t="s">
        <v>343</v>
      </c>
      <c r="F64" s="4" t="s">
        <v>344</v>
      </c>
      <c r="G64" s="4" t="s">
        <v>317</v>
      </c>
      <c r="H64" s="3" t="s">
        <v>62</v>
      </c>
      <c r="I64" s="4" t="s">
        <v>318</v>
      </c>
      <c r="J64" s="4" t="s">
        <v>319</v>
      </c>
      <c r="K64" s="3"/>
      <c r="L64" s="3"/>
      <c r="M64" s="3"/>
      <c r="N64" s="3"/>
    </row>
    <row r="65" customFormat="false" ht="64.5" hidden="false" customHeight="true" outlineLevel="0" collapsed="false">
      <c r="A65" s="3" t="s">
        <v>406</v>
      </c>
      <c r="B65" s="3" t="s">
        <v>94</v>
      </c>
      <c r="C65" s="4" t="s">
        <v>346</v>
      </c>
      <c r="D65" s="4" t="s">
        <v>347</v>
      </c>
      <c r="E65" s="4" t="s">
        <v>101</v>
      </c>
      <c r="F65" s="4" t="s">
        <v>349</v>
      </c>
      <c r="G65" s="4" t="s">
        <v>317</v>
      </c>
      <c r="H65" s="3" t="s">
        <v>62</v>
      </c>
      <c r="I65" s="4" t="s">
        <v>350</v>
      </c>
      <c r="J65" s="4" t="s">
        <v>319</v>
      </c>
      <c r="K65" s="3"/>
      <c r="L65" s="3"/>
      <c r="M65" s="3"/>
      <c r="N65" s="3"/>
    </row>
    <row r="66" customFormat="false" ht="64.5" hidden="false" customHeight="true" outlineLevel="0" collapsed="false">
      <c r="A66" s="3" t="s">
        <v>407</v>
      </c>
      <c r="B66" s="3" t="s">
        <v>102</v>
      </c>
      <c r="C66" s="4" t="s">
        <v>313</v>
      </c>
      <c r="D66" s="4" t="s">
        <v>314</v>
      </c>
      <c r="E66" s="4" t="s">
        <v>315</v>
      </c>
      <c r="F66" s="4" t="s">
        <v>316</v>
      </c>
      <c r="G66" s="4" t="s">
        <v>317</v>
      </c>
      <c r="H66" s="3" t="s">
        <v>62</v>
      </c>
      <c r="I66" s="4" t="s">
        <v>318</v>
      </c>
      <c r="J66" s="4" t="s">
        <v>319</v>
      </c>
      <c r="K66" s="3"/>
      <c r="L66" s="3"/>
      <c r="M66" s="3"/>
      <c r="N66" s="3"/>
    </row>
    <row r="67" customFormat="false" ht="64.5" hidden="false" customHeight="true" outlineLevel="0" collapsed="false">
      <c r="A67" s="3" t="s">
        <v>408</v>
      </c>
      <c r="B67" s="3" t="s">
        <v>102</v>
      </c>
      <c r="C67" s="4" t="s">
        <v>321</v>
      </c>
      <c r="D67" s="4" t="s">
        <v>322</v>
      </c>
      <c r="E67" s="4" t="s">
        <v>323</v>
      </c>
      <c r="F67" s="4" t="s">
        <v>324</v>
      </c>
      <c r="G67" s="4" t="s">
        <v>317</v>
      </c>
      <c r="H67" s="3" t="s">
        <v>62</v>
      </c>
      <c r="I67" s="4" t="s">
        <v>318</v>
      </c>
      <c r="J67" s="4" t="s">
        <v>319</v>
      </c>
      <c r="K67" s="3"/>
      <c r="L67" s="3"/>
      <c r="M67" s="3"/>
      <c r="N67" s="3"/>
    </row>
    <row r="68" customFormat="false" ht="64.5" hidden="false" customHeight="true" outlineLevel="0" collapsed="false">
      <c r="A68" s="3" t="s">
        <v>409</v>
      </c>
      <c r="B68" s="3" t="s">
        <v>102</v>
      </c>
      <c r="C68" s="4" t="s">
        <v>321</v>
      </c>
      <c r="D68" s="4" t="s">
        <v>326</v>
      </c>
      <c r="E68" s="4" t="s">
        <v>327</v>
      </c>
      <c r="F68" s="4" t="s">
        <v>328</v>
      </c>
      <c r="G68" s="4" t="s">
        <v>317</v>
      </c>
      <c r="H68" s="3" t="s">
        <v>62</v>
      </c>
      <c r="I68" s="4" t="s">
        <v>318</v>
      </c>
      <c r="J68" s="4" t="s">
        <v>319</v>
      </c>
      <c r="K68" s="3"/>
      <c r="L68" s="3"/>
      <c r="M68" s="3"/>
      <c r="N68" s="3"/>
    </row>
    <row r="69" customFormat="false" ht="64.5" hidden="false" customHeight="true" outlineLevel="0" collapsed="false">
      <c r="A69" s="3" t="s">
        <v>410</v>
      </c>
      <c r="B69" s="3" t="s">
        <v>102</v>
      </c>
      <c r="C69" s="4" t="s">
        <v>321</v>
      </c>
      <c r="D69" s="4" t="s">
        <v>330</v>
      </c>
      <c r="E69" s="4" t="s">
        <v>331</v>
      </c>
      <c r="F69" s="4" t="s">
        <v>332</v>
      </c>
      <c r="G69" s="4" t="s">
        <v>317</v>
      </c>
      <c r="H69" s="3" t="s">
        <v>62</v>
      </c>
      <c r="I69" s="4" t="s">
        <v>318</v>
      </c>
      <c r="J69" s="4" t="s">
        <v>319</v>
      </c>
      <c r="K69" s="3"/>
      <c r="L69" s="3"/>
      <c r="M69" s="3"/>
      <c r="N69" s="3"/>
    </row>
    <row r="70" customFormat="false" ht="64.5" hidden="false" customHeight="true" outlineLevel="0" collapsed="false">
      <c r="A70" s="3" t="s">
        <v>411</v>
      </c>
      <c r="B70" s="3" t="s">
        <v>102</v>
      </c>
      <c r="C70" s="4" t="s">
        <v>321</v>
      </c>
      <c r="D70" s="4" t="s">
        <v>334</v>
      </c>
      <c r="E70" s="4" t="s">
        <v>335</v>
      </c>
      <c r="F70" s="4" t="s">
        <v>336</v>
      </c>
      <c r="G70" s="4" t="s">
        <v>317</v>
      </c>
      <c r="H70" s="3" t="s">
        <v>62</v>
      </c>
      <c r="I70" s="4" t="s">
        <v>318</v>
      </c>
      <c r="J70" s="4" t="s">
        <v>319</v>
      </c>
      <c r="K70" s="3"/>
      <c r="L70" s="3"/>
      <c r="M70" s="3"/>
      <c r="N70" s="3"/>
    </row>
    <row r="71" customFormat="false" ht="64.5" hidden="false" customHeight="true" outlineLevel="0" collapsed="false">
      <c r="A71" s="3" t="s">
        <v>412</v>
      </c>
      <c r="B71" s="3" t="s">
        <v>102</v>
      </c>
      <c r="C71" s="4" t="s">
        <v>313</v>
      </c>
      <c r="D71" s="4" t="s">
        <v>338</v>
      </c>
      <c r="E71" s="4" t="s">
        <v>339</v>
      </c>
      <c r="F71" s="4" t="s">
        <v>340</v>
      </c>
      <c r="G71" s="4" t="s">
        <v>317</v>
      </c>
      <c r="H71" s="3" t="s">
        <v>62</v>
      </c>
      <c r="I71" s="4" t="s">
        <v>318</v>
      </c>
      <c r="J71" s="4" t="s">
        <v>319</v>
      </c>
      <c r="K71" s="3"/>
      <c r="L71" s="3"/>
      <c r="M71" s="3"/>
      <c r="N71" s="3"/>
    </row>
    <row r="72" customFormat="false" ht="64.5" hidden="false" customHeight="true" outlineLevel="0" collapsed="false">
      <c r="A72" s="3" t="s">
        <v>413</v>
      </c>
      <c r="B72" s="3" t="s">
        <v>102</v>
      </c>
      <c r="C72" s="4" t="s">
        <v>313</v>
      </c>
      <c r="D72" s="4" t="s">
        <v>342</v>
      </c>
      <c r="E72" s="4" t="s">
        <v>343</v>
      </c>
      <c r="F72" s="4" t="s">
        <v>344</v>
      </c>
      <c r="G72" s="4" t="s">
        <v>317</v>
      </c>
      <c r="H72" s="3" t="s">
        <v>62</v>
      </c>
      <c r="I72" s="4" t="s">
        <v>318</v>
      </c>
      <c r="J72" s="4" t="s">
        <v>319</v>
      </c>
      <c r="K72" s="3"/>
      <c r="L72" s="3"/>
      <c r="M72" s="3"/>
      <c r="N72" s="3"/>
    </row>
    <row r="73" customFormat="false" ht="64.5" hidden="false" customHeight="true" outlineLevel="0" collapsed="false">
      <c r="A73" s="3" t="s">
        <v>414</v>
      </c>
      <c r="B73" s="3" t="s">
        <v>102</v>
      </c>
      <c r="C73" s="4" t="s">
        <v>346</v>
      </c>
      <c r="D73" s="4" t="s">
        <v>347</v>
      </c>
      <c r="E73" s="4" t="s">
        <v>109</v>
      </c>
      <c r="F73" s="4" t="s">
        <v>349</v>
      </c>
      <c r="G73" s="4" t="s">
        <v>317</v>
      </c>
      <c r="H73" s="3" t="s">
        <v>62</v>
      </c>
      <c r="I73" s="4" t="s">
        <v>350</v>
      </c>
      <c r="J73" s="4" t="s">
        <v>319</v>
      </c>
      <c r="K73" s="3"/>
      <c r="L73" s="3"/>
      <c r="M73" s="3"/>
      <c r="N73" s="3"/>
    </row>
    <row r="74" customFormat="false" ht="64.5" hidden="false" customHeight="true" outlineLevel="0" collapsed="false">
      <c r="A74" s="3" t="s">
        <v>415</v>
      </c>
      <c r="B74" s="3" t="s">
        <v>110</v>
      </c>
      <c r="C74" s="4" t="s">
        <v>313</v>
      </c>
      <c r="D74" s="4" t="s">
        <v>314</v>
      </c>
      <c r="E74" s="4" t="s">
        <v>315</v>
      </c>
      <c r="F74" s="4" t="s">
        <v>316</v>
      </c>
      <c r="G74" s="4" t="s">
        <v>317</v>
      </c>
      <c r="H74" s="3" t="s">
        <v>116</v>
      </c>
      <c r="I74" s="4" t="s">
        <v>318</v>
      </c>
      <c r="J74" s="4" t="s">
        <v>319</v>
      </c>
      <c r="K74" s="3"/>
      <c r="L74" s="3"/>
      <c r="M74" s="3"/>
      <c r="N74" s="3"/>
    </row>
    <row r="75" customFormat="false" ht="64.5" hidden="false" customHeight="true" outlineLevel="0" collapsed="false">
      <c r="A75" s="3" t="s">
        <v>416</v>
      </c>
      <c r="B75" s="3" t="s">
        <v>110</v>
      </c>
      <c r="C75" s="4" t="s">
        <v>321</v>
      </c>
      <c r="D75" s="4" t="s">
        <v>322</v>
      </c>
      <c r="E75" s="4" t="s">
        <v>323</v>
      </c>
      <c r="F75" s="4" t="s">
        <v>324</v>
      </c>
      <c r="G75" s="4" t="s">
        <v>317</v>
      </c>
      <c r="H75" s="3" t="s">
        <v>116</v>
      </c>
      <c r="I75" s="4" t="s">
        <v>318</v>
      </c>
      <c r="J75" s="4" t="s">
        <v>319</v>
      </c>
      <c r="K75" s="3"/>
      <c r="L75" s="3"/>
      <c r="M75" s="3"/>
      <c r="N75" s="3"/>
    </row>
    <row r="76" customFormat="false" ht="64.5" hidden="false" customHeight="true" outlineLevel="0" collapsed="false">
      <c r="A76" s="3" t="s">
        <v>417</v>
      </c>
      <c r="B76" s="3" t="s">
        <v>110</v>
      </c>
      <c r="C76" s="4" t="s">
        <v>321</v>
      </c>
      <c r="D76" s="4" t="s">
        <v>326</v>
      </c>
      <c r="E76" s="4" t="s">
        <v>327</v>
      </c>
      <c r="F76" s="4" t="s">
        <v>328</v>
      </c>
      <c r="G76" s="4" t="s">
        <v>317</v>
      </c>
      <c r="H76" s="3" t="s">
        <v>116</v>
      </c>
      <c r="I76" s="4" t="s">
        <v>318</v>
      </c>
      <c r="J76" s="4" t="s">
        <v>319</v>
      </c>
      <c r="K76" s="3"/>
      <c r="L76" s="3"/>
      <c r="M76" s="3"/>
      <c r="N76" s="3"/>
    </row>
    <row r="77" customFormat="false" ht="64.5" hidden="false" customHeight="true" outlineLevel="0" collapsed="false">
      <c r="A77" s="3" t="s">
        <v>418</v>
      </c>
      <c r="B77" s="3" t="s">
        <v>110</v>
      </c>
      <c r="C77" s="4" t="s">
        <v>321</v>
      </c>
      <c r="D77" s="4" t="s">
        <v>330</v>
      </c>
      <c r="E77" s="4" t="s">
        <v>331</v>
      </c>
      <c r="F77" s="4" t="s">
        <v>332</v>
      </c>
      <c r="G77" s="4" t="s">
        <v>317</v>
      </c>
      <c r="H77" s="3" t="s">
        <v>116</v>
      </c>
      <c r="I77" s="4" t="s">
        <v>318</v>
      </c>
      <c r="J77" s="4" t="s">
        <v>319</v>
      </c>
      <c r="K77" s="3"/>
      <c r="L77" s="3"/>
      <c r="M77" s="3"/>
      <c r="N77" s="3"/>
    </row>
    <row r="78" customFormat="false" ht="64.5" hidden="false" customHeight="true" outlineLevel="0" collapsed="false">
      <c r="A78" s="3" t="s">
        <v>419</v>
      </c>
      <c r="B78" s="3" t="s">
        <v>110</v>
      </c>
      <c r="C78" s="4" t="s">
        <v>321</v>
      </c>
      <c r="D78" s="4" t="s">
        <v>334</v>
      </c>
      <c r="E78" s="4" t="s">
        <v>335</v>
      </c>
      <c r="F78" s="4" t="s">
        <v>336</v>
      </c>
      <c r="G78" s="4" t="s">
        <v>317</v>
      </c>
      <c r="H78" s="3" t="s">
        <v>116</v>
      </c>
      <c r="I78" s="4" t="s">
        <v>318</v>
      </c>
      <c r="J78" s="4" t="s">
        <v>319</v>
      </c>
      <c r="K78" s="3"/>
      <c r="L78" s="3"/>
      <c r="M78" s="3"/>
      <c r="N78" s="3"/>
    </row>
    <row r="79" customFormat="false" ht="64.5" hidden="false" customHeight="true" outlineLevel="0" collapsed="false">
      <c r="A79" s="3" t="s">
        <v>420</v>
      </c>
      <c r="B79" s="3" t="s">
        <v>110</v>
      </c>
      <c r="C79" s="4" t="s">
        <v>313</v>
      </c>
      <c r="D79" s="4" t="s">
        <v>338</v>
      </c>
      <c r="E79" s="4" t="s">
        <v>339</v>
      </c>
      <c r="F79" s="4" t="s">
        <v>340</v>
      </c>
      <c r="G79" s="4" t="s">
        <v>317</v>
      </c>
      <c r="H79" s="3" t="s">
        <v>116</v>
      </c>
      <c r="I79" s="4" t="s">
        <v>318</v>
      </c>
      <c r="J79" s="4" t="s">
        <v>319</v>
      </c>
      <c r="K79" s="3"/>
      <c r="L79" s="3"/>
      <c r="M79" s="3"/>
      <c r="N79" s="3"/>
    </row>
    <row r="80" customFormat="false" ht="64.5" hidden="false" customHeight="true" outlineLevel="0" collapsed="false">
      <c r="A80" s="3" t="s">
        <v>421</v>
      </c>
      <c r="B80" s="3" t="s">
        <v>110</v>
      </c>
      <c r="C80" s="4" t="s">
        <v>313</v>
      </c>
      <c r="D80" s="4" t="s">
        <v>342</v>
      </c>
      <c r="E80" s="4" t="s">
        <v>343</v>
      </c>
      <c r="F80" s="4" t="s">
        <v>344</v>
      </c>
      <c r="G80" s="4" t="s">
        <v>317</v>
      </c>
      <c r="H80" s="3" t="s">
        <v>116</v>
      </c>
      <c r="I80" s="4" t="s">
        <v>318</v>
      </c>
      <c r="J80" s="4" t="s">
        <v>319</v>
      </c>
      <c r="K80" s="3"/>
      <c r="L80" s="3"/>
      <c r="M80" s="3"/>
      <c r="N80" s="3"/>
    </row>
    <row r="81" customFormat="false" ht="64.5" hidden="false" customHeight="true" outlineLevel="0" collapsed="false">
      <c r="A81" s="3" t="s">
        <v>422</v>
      </c>
      <c r="B81" s="3" t="s">
        <v>110</v>
      </c>
      <c r="C81" s="4" t="s">
        <v>346</v>
      </c>
      <c r="D81" s="4" t="s">
        <v>347</v>
      </c>
      <c r="E81" s="4" t="s">
        <v>117</v>
      </c>
      <c r="F81" s="4" t="s">
        <v>349</v>
      </c>
      <c r="G81" s="4" t="s">
        <v>317</v>
      </c>
      <c r="H81" s="3" t="s">
        <v>116</v>
      </c>
      <c r="I81" s="4" t="s">
        <v>350</v>
      </c>
      <c r="J81" s="4" t="s">
        <v>319</v>
      </c>
      <c r="K81" s="3"/>
      <c r="L81" s="3"/>
      <c r="M81" s="3"/>
      <c r="N81" s="3"/>
    </row>
    <row r="82" customFormat="false" ht="64.5" hidden="false" customHeight="true" outlineLevel="0" collapsed="false">
      <c r="A82" s="3" t="s">
        <v>423</v>
      </c>
      <c r="B82" s="3" t="s">
        <v>118</v>
      </c>
      <c r="C82" s="4" t="s">
        <v>313</v>
      </c>
      <c r="D82" s="4" t="s">
        <v>314</v>
      </c>
      <c r="E82" s="4" t="s">
        <v>315</v>
      </c>
      <c r="F82" s="4" t="s">
        <v>316</v>
      </c>
      <c r="G82" s="4" t="s">
        <v>317</v>
      </c>
      <c r="H82" s="3" t="s">
        <v>124</v>
      </c>
      <c r="I82" s="4" t="s">
        <v>318</v>
      </c>
      <c r="J82" s="4" t="s">
        <v>319</v>
      </c>
      <c r="K82" s="3"/>
      <c r="L82" s="3"/>
      <c r="M82" s="3"/>
      <c r="N82" s="3"/>
    </row>
    <row r="83" customFormat="false" ht="64.5" hidden="false" customHeight="true" outlineLevel="0" collapsed="false">
      <c r="A83" s="3" t="s">
        <v>424</v>
      </c>
      <c r="B83" s="3" t="s">
        <v>118</v>
      </c>
      <c r="C83" s="4" t="s">
        <v>321</v>
      </c>
      <c r="D83" s="4" t="s">
        <v>322</v>
      </c>
      <c r="E83" s="4" t="s">
        <v>323</v>
      </c>
      <c r="F83" s="4" t="s">
        <v>324</v>
      </c>
      <c r="G83" s="4" t="s">
        <v>317</v>
      </c>
      <c r="H83" s="3" t="s">
        <v>124</v>
      </c>
      <c r="I83" s="4" t="s">
        <v>318</v>
      </c>
      <c r="J83" s="4" t="s">
        <v>319</v>
      </c>
      <c r="K83" s="3"/>
      <c r="L83" s="3"/>
      <c r="M83" s="3"/>
      <c r="N83" s="3"/>
    </row>
    <row r="84" customFormat="false" ht="64.5" hidden="false" customHeight="true" outlineLevel="0" collapsed="false">
      <c r="A84" s="3" t="s">
        <v>425</v>
      </c>
      <c r="B84" s="3" t="s">
        <v>118</v>
      </c>
      <c r="C84" s="4" t="s">
        <v>321</v>
      </c>
      <c r="D84" s="4" t="s">
        <v>326</v>
      </c>
      <c r="E84" s="4" t="s">
        <v>327</v>
      </c>
      <c r="F84" s="4" t="s">
        <v>328</v>
      </c>
      <c r="G84" s="4" t="s">
        <v>317</v>
      </c>
      <c r="H84" s="3" t="s">
        <v>124</v>
      </c>
      <c r="I84" s="4" t="s">
        <v>318</v>
      </c>
      <c r="J84" s="4" t="s">
        <v>319</v>
      </c>
      <c r="K84" s="3"/>
      <c r="L84" s="3"/>
      <c r="M84" s="3"/>
      <c r="N84" s="3"/>
    </row>
    <row r="85" customFormat="false" ht="64.5" hidden="false" customHeight="true" outlineLevel="0" collapsed="false">
      <c r="A85" s="3" t="s">
        <v>426</v>
      </c>
      <c r="B85" s="3" t="s">
        <v>118</v>
      </c>
      <c r="C85" s="4" t="s">
        <v>321</v>
      </c>
      <c r="D85" s="4" t="s">
        <v>330</v>
      </c>
      <c r="E85" s="4" t="s">
        <v>331</v>
      </c>
      <c r="F85" s="4" t="s">
        <v>332</v>
      </c>
      <c r="G85" s="4" t="s">
        <v>317</v>
      </c>
      <c r="H85" s="3" t="s">
        <v>124</v>
      </c>
      <c r="I85" s="4" t="s">
        <v>318</v>
      </c>
      <c r="J85" s="4" t="s">
        <v>319</v>
      </c>
      <c r="K85" s="3"/>
      <c r="L85" s="3"/>
      <c r="M85" s="3"/>
      <c r="N85" s="3"/>
    </row>
    <row r="86" customFormat="false" ht="64.5" hidden="false" customHeight="true" outlineLevel="0" collapsed="false">
      <c r="A86" s="3" t="s">
        <v>427</v>
      </c>
      <c r="B86" s="3" t="s">
        <v>118</v>
      </c>
      <c r="C86" s="4" t="s">
        <v>321</v>
      </c>
      <c r="D86" s="4" t="s">
        <v>334</v>
      </c>
      <c r="E86" s="4" t="s">
        <v>335</v>
      </c>
      <c r="F86" s="4" t="s">
        <v>336</v>
      </c>
      <c r="G86" s="4" t="s">
        <v>317</v>
      </c>
      <c r="H86" s="3" t="s">
        <v>124</v>
      </c>
      <c r="I86" s="4" t="s">
        <v>318</v>
      </c>
      <c r="J86" s="4" t="s">
        <v>319</v>
      </c>
      <c r="K86" s="3"/>
      <c r="L86" s="3"/>
      <c r="M86" s="3"/>
      <c r="N86" s="3"/>
    </row>
    <row r="87" customFormat="false" ht="64.5" hidden="false" customHeight="true" outlineLevel="0" collapsed="false">
      <c r="A87" s="3" t="s">
        <v>428</v>
      </c>
      <c r="B87" s="3" t="s">
        <v>118</v>
      </c>
      <c r="C87" s="4" t="s">
        <v>313</v>
      </c>
      <c r="D87" s="4" t="s">
        <v>338</v>
      </c>
      <c r="E87" s="4" t="s">
        <v>339</v>
      </c>
      <c r="F87" s="4" t="s">
        <v>340</v>
      </c>
      <c r="G87" s="4" t="s">
        <v>317</v>
      </c>
      <c r="H87" s="3" t="s">
        <v>124</v>
      </c>
      <c r="I87" s="4" t="s">
        <v>318</v>
      </c>
      <c r="J87" s="4" t="s">
        <v>319</v>
      </c>
      <c r="K87" s="3"/>
      <c r="L87" s="3"/>
      <c r="M87" s="3"/>
      <c r="N87" s="3"/>
    </row>
    <row r="88" customFormat="false" ht="64.5" hidden="false" customHeight="true" outlineLevel="0" collapsed="false">
      <c r="A88" s="3" t="s">
        <v>429</v>
      </c>
      <c r="B88" s="3" t="s">
        <v>118</v>
      </c>
      <c r="C88" s="4" t="s">
        <v>313</v>
      </c>
      <c r="D88" s="4" t="s">
        <v>342</v>
      </c>
      <c r="E88" s="4" t="s">
        <v>343</v>
      </c>
      <c r="F88" s="4" t="s">
        <v>344</v>
      </c>
      <c r="G88" s="4" t="s">
        <v>317</v>
      </c>
      <c r="H88" s="3" t="s">
        <v>124</v>
      </c>
      <c r="I88" s="4" t="s">
        <v>318</v>
      </c>
      <c r="J88" s="4" t="s">
        <v>319</v>
      </c>
      <c r="K88" s="3"/>
      <c r="L88" s="3"/>
      <c r="M88" s="3"/>
      <c r="N88" s="3"/>
    </row>
    <row r="89" customFormat="false" ht="64.5" hidden="false" customHeight="true" outlineLevel="0" collapsed="false">
      <c r="A89" s="3" t="s">
        <v>430</v>
      </c>
      <c r="B89" s="3" t="s">
        <v>118</v>
      </c>
      <c r="C89" s="4" t="s">
        <v>346</v>
      </c>
      <c r="D89" s="4" t="s">
        <v>347</v>
      </c>
      <c r="E89" s="4" t="s">
        <v>125</v>
      </c>
      <c r="F89" s="4" t="s">
        <v>349</v>
      </c>
      <c r="G89" s="4" t="s">
        <v>317</v>
      </c>
      <c r="H89" s="3" t="s">
        <v>124</v>
      </c>
      <c r="I89" s="4" t="s">
        <v>350</v>
      </c>
      <c r="J89" s="4" t="s">
        <v>319</v>
      </c>
      <c r="K89" s="3"/>
      <c r="L89" s="3"/>
      <c r="M89" s="3"/>
      <c r="N89" s="3"/>
    </row>
    <row r="90" customFormat="false" ht="64.5" hidden="false" customHeight="true" outlineLevel="0" collapsed="false">
      <c r="A90" s="3" t="s">
        <v>431</v>
      </c>
      <c r="B90" s="3" t="s">
        <v>126</v>
      </c>
      <c r="C90" s="4" t="s">
        <v>313</v>
      </c>
      <c r="D90" s="4" t="s">
        <v>314</v>
      </c>
      <c r="E90" s="4" t="s">
        <v>315</v>
      </c>
      <c r="F90" s="4" t="s">
        <v>316</v>
      </c>
      <c r="G90" s="4" t="s">
        <v>317</v>
      </c>
      <c r="H90" s="3" t="s">
        <v>124</v>
      </c>
      <c r="I90" s="4" t="s">
        <v>318</v>
      </c>
      <c r="J90" s="4" t="s">
        <v>319</v>
      </c>
      <c r="K90" s="3"/>
      <c r="L90" s="3"/>
      <c r="M90" s="3"/>
      <c r="N90" s="3"/>
    </row>
    <row r="91" customFormat="false" ht="64.5" hidden="false" customHeight="true" outlineLevel="0" collapsed="false">
      <c r="A91" s="3" t="s">
        <v>432</v>
      </c>
      <c r="B91" s="3" t="s">
        <v>126</v>
      </c>
      <c r="C91" s="4" t="s">
        <v>321</v>
      </c>
      <c r="D91" s="4" t="s">
        <v>322</v>
      </c>
      <c r="E91" s="4" t="s">
        <v>323</v>
      </c>
      <c r="F91" s="4" t="s">
        <v>324</v>
      </c>
      <c r="G91" s="4" t="s">
        <v>317</v>
      </c>
      <c r="H91" s="3" t="s">
        <v>124</v>
      </c>
      <c r="I91" s="4" t="s">
        <v>318</v>
      </c>
      <c r="J91" s="4" t="s">
        <v>319</v>
      </c>
      <c r="K91" s="3"/>
      <c r="L91" s="3"/>
      <c r="M91" s="3"/>
      <c r="N91" s="3"/>
    </row>
    <row r="92" customFormat="false" ht="64.5" hidden="false" customHeight="true" outlineLevel="0" collapsed="false">
      <c r="A92" s="3" t="s">
        <v>433</v>
      </c>
      <c r="B92" s="3" t="s">
        <v>126</v>
      </c>
      <c r="C92" s="4" t="s">
        <v>321</v>
      </c>
      <c r="D92" s="4" t="s">
        <v>326</v>
      </c>
      <c r="E92" s="4" t="s">
        <v>327</v>
      </c>
      <c r="F92" s="4" t="s">
        <v>328</v>
      </c>
      <c r="G92" s="4" t="s">
        <v>317</v>
      </c>
      <c r="H92" s="3" t="s">
        <v>124</v>
      </c>
      <c r="I92" s="4" t="s">
        <v>318</v>
      </c>
      <c r="J92" s="4" t="s">
        <v>319</v>
      </c>
      <c r="K92" s="3"/>
      <c r="L92" s="3"/>
      <c r="M92" s="3"/>
      <c r="N92" s="3"/>
    </row>
    <row r="93" customFormat="false" ht="64.5" hidden="false" customHeight="true" outlineLevel="0" collapsed="false">
      <c r="A93" s="3" t="s">
        <v>434</v>
      </c>
      <c r="B93" s="3" t="s">
        <v>126</v>
      </c>
      <c r="C93" s="4" t="s">
        <v>321</v>
      </c>
      <c r="D93" s="4" t="s">
        <v>330</v>
      </c>
      <c r="E93" s="4" t="s">
        <v>331</v>
      </c>
      <c r="F93" s="4" t="s">
        <v>332</v>
      </c>
      <c r="G93" s="4" t="s">
        <v>317</v>
      </c>
      <c r="H93" s="3" t="s">
        <v>124</v>
      </c>
      <c r="I93" s="4" t="s">
        <v>318</v>
      </c>
      <c r="J93" s="4" t="s">
        <v>319</v>
      </c>
      <c r="K93" s="3"/>
      <c r="L93" s="3"/>
      <c r="M93" s="3"/>
      <c r="N93" s="3"/>
    </row>
    <row r="94" customFormat="false" ht="64.5" hidden="false" customHeight="true" outlineLevel="0" collapsed="false">
      <c r="A94" s="3" t="s">
        <v>435</v>
      </c>
      <c r="B94" s="3" t="s">
        <v>126</v>
      </c>
      <c r="C94" s="4" t="s">
        <v>321</v>
      </c>
      <c r="D94" s="4" t="s">
        <v>334</v>
      </c>
      <c r="E94" s="4" t="s">
        <v>335</v>
      </c>
      <c r="F94" s="4" t="s">
        <v>336</v>
      </c>
      <c r="G94" s="4" t="s">
        <v>317</v>
      </c>
      <c r="H94" s="3" t="s">
        <v>124</v>
      </c>
      <c r="I94" s="4" t="s">
        <v>318</v>
      </c>
      <c r="J94" s="4" t="s">
        <v>319</v>
      </c>
      <c r="K94" s="3"/>
      <c r="L94" s="3"/>
      <c r="M94" s="3"/>
      <c r="N94" s="3"/>
    </row>
    <row r="95" customFormat="false" ht="64.5" hidden="false" customHeight="true" outlineLevel="0" collapsed="false">
      <c r="A95" s="3" t="s">
        <v>436</v>
      </c>
      <c r="B95" s="3" t="s">
        <v>126</v>
      </c>
      <c r="C95" s="4" t="s">
        <v>313</v>
      </c>
      <c r="D95" s="4" t="s">
        <v>338</v>
      </c>
      <c r="E95" s="4" t="s">
        <v>339</v>
      </c>
      <c r="F95" s="4" t="s">
        <v>340</v>
      </c>
      <c r="G95" s="4" t="s">
        <v>317</v>
      </c>
      <c r="H95" s="3" t="s">
        <v>124</v>
      </c>
      <c r="I95" s="4" t="s">
        <v>318</v>
      </c>
      <c r="J95" s="4" t="s">
        <v>319</v>
      </c>
      <c r="K95" s="3"/>
      <c r="L95" s="3"/>
      <c r="M95" s="3"/>
      <c r="N95" s="3"/>
    </row>
    <row r="96" customFormat="false" ht="64.5" hidden="false" customHeight="true" outlineLevel="0" collapsed="false">
      <c r="A96" s="3" t="s">
        <v>437</v>
      </c>
      <c r="B96" s="3" t="s">
        <v>126</v>
      </c>
      <c r="C96" s="4" t="s">
        <v>313</v>
      </c>
      <c r="D96" s="4" t="s">
        <v>342</v>
      </c>
      <c r="E96" s="4" t="s">
        <v>343</v>
      </c>
      <c r="F96" s="4" t="s">
        <v>344</v>
      </c>
      <c r="G96" s="4" t="s">
        <v>317</v>
      </c>
      <c r="H96" s="3" t="s">
        <v>124</v>
      </c>
      <c r="I96" s="4" t="s">
        <v>318</v>
      </c>
      <c r="J96" s="4" t="s">
        <v>319</v>
      </c>
      <c r="K96" s="3"/>
      <c r="L96" s="3"/>
      <c r="M96" s="3"/>
      <c r="N96" s="3"/>
    </row>
    <row r="97" customFormat="false" ht="64.5" hidden="false" customHeight="true" outlineLevel="0" collapsed="false">
      <c r="A97" s="3" t="s">
        <v>438</v>
      </c>
      <c r="B97" s="3" t="s">
        <v>126</v>
      </c>
      <c r="C97" s="4" t="s">
        <v>346</v>
      </c>
      <c r="D97" s="4" t="s">
        <v>347</v>
      </c>
      <c r="E97" s="4" t="s">
        <v>133</v>
      </c>
      <c r="F97" s="4" t="s">
        <v>349</v>
      </c>
      <c r="G97" s="4" t="s">
        <v>317</v>
      </c>
      <c r="H97" s="3" t="s">
        <v>124</v>
      </c>
      <c r="I97" s="4" t="s">
        <v>350</v>
      </c>
      <c r="J97" s="4" t="s">
        <v>319</v>
      </c>
      <c r="K97" s="3"/>
      <c r="L97" s="3"/>
      <c r="M97" s="3"/>
      <c r="N97" s="3"/>
    </row>
    <row r="98" customFormat="false" ht="64.5" hidden="false" customHeight="true" outlineLevel="0" collapsed="false">
      <c r="A98" s="3" t="s">
        <v>439</v>
      </c>
      <c r="B98" s="3" t="s">
        <v>134</v>
      </c>
      <c r="C98" s="4" t="s">
        <v>313</v>
      </c>
      <c r="D98" s="4" t="s">
        <v>314</v>
      </c>
      <c r="E98" s="4" t="s">
        <v>315</v>
      </c>
      <c r="F98" s="4" t="s">
        <v>316</v>
      </c>
      <c r="G98" s="4" t="s">
        <v>317</v>
      </c>
      <c r="H98" s="3" t="s">
        <v>124</v>
      </c>
      <c r="I98" s="4" t="s">
        <v>318</v>
      </c>
      <c r="J98" s="4" t="s">
        <v>319</v>
      </c>
      <c r="K98" s="3"/>
      <c r="L98" s="3"/>
      <c r="M98" s="3"/>
      <c r="N98" s="3"/>
    </row>
    <row r="99" customFormat="false" ht="64.5" hidden="false" customHeight="true" outlineLevel="0" collapsed="false">
      <c r="A99" s="3" t="s">
        <v>440</v>
      </c>
      <c r="B99" s="3" t="s">
        <v>134</v>
      </c>
      <c r="C99" s="4" t="s">
        <v>321</v>
      </c>
      <c r="D99" s="4" t="s">
        <v>322</v>
      </c>
      <c r="E99" s="4" t="s">
        <v>323</v>
      </c>
      <c r="F99" s="4" t="s">
        <v>324</v>
      </c>
      <c r="G99" s="4" t="s">
        <v>317</v>
      </c>
      <c r="H99" s="3" t="s">
        <v>124</v>
      </c>
      <c r="I99" s="4" t="s">
        <v>318</v>
      </c>
      <c r="J99" s="4" t="s">
        <v>319</v>
      </c>
      <c r="K99" s="3"/>
      <c r="L99" s="3"/>
      <c r="M99" s="3"/>
      <c r="N99" s="3"/>
    </row>
    <row r="100" customFormat="false" ht="64.5" hidden="false" customHeight="true" outlineLevel="0" collapsed="false">
      <c r="A100" s="3" t="s">
        <v>441</v>
      </c>
      <c r="B100" s="3" t="s">
        <v>134</v>
      </c>
      <c r="C100" s="4" t="s">
        <v>321</v>
      </c>
      <c r="D100" s="4" t="s">
        <v>326</v>
      </c>
      <c r="E100" s="4" t="s">
        <v>327</v>
      </c>
      <c r="F100" s="4" t="s">
        <v>328</v>
      </c>
      <c r="G100" s="4" t="s">
        <v>317</v>
      </c>
      <c r="H100" s="3" t="s">
        <v>124</v>
      </c>
      <c r="I100" s="4" t="s">
        <v>318</v>
      </c>
      <c r="J100" s="4" t="s">
        <v>319</v>
      </c>
      <c r="K100" s="3"/>
      <c r="L100" s="3"/>
      <c r="M100" s="3"/>
      <c r="N100" s="3"/>
    </row>
    <row r="101" customFormat="false" ht="64.5" hidden="false" customHeight="true" outlineLevel="0" collapsed="false">
      <c r="A101" s="3" t="s">
        <v>442</v>
      </c>
      <c r="B101" s="3" t="s">
        <v>134</v>
      </c>
      <c r="C101" s="4" t="s">
        <v>321</v>
      </c>
      <c r="D101" s="4" t="s">
        <v>330</v>
      </c>
      <c r="E101" s="4" t="s">
        <v>331</v>
      </c>
      <c r="F101" s="4" t="s">
        <v>332</v>
      </c>
      <c r="G101" s="4" t="s">
        <v>317</v>
      </c>
      <c r="H101" s="3" t="s">
        <v>124</v>
      </c>
      <c r="I101" s="4" t="s">
        <v>318</v>
      </c>
      <c r="J101" s="4" t="s">
        <v>319</v>
      </c>
      <c r="K101" s="3"/>
      <c r="L101" s="3"/>
      <c r="M101" s="3"/>
      <c r="N101" s="3"/>
    </row>
    <row r="102" customFormat="false" ht="64.5" hidden="false" customHeight="true" outlineLevel="0" collapsed="false">
      <c r="A102" s="3" t="s">
        <v>443</v>
      </c>
      <c r="B102" s="3" t="s">
        <v>134</v>
      </c>
      <c r="C102" s="4" t="s">
        <v>321</v>
      </c>
      <c r="D102" s="4" t="s">
        <v>334</v>
      </c>
      <c r="E102" s="4" t="s">
        <v>335</v>
      </c>
      <c r="F102" s="4" t="s">
        <v>336</v>
      </c>
      <c r="G102" s="4" t="s">
        <v>317</v>
      </c>
      <c r="H102" s="3" t="s">
        <v>124</v>
      </c>
      <c r="I102" s="4" t="s">
        <v>318</v>
      </c>
      <c r="J102" s="4" t="s">
        <v>319</v>
      </c>
      <c r="K102" s="3"/>
      <c r="L102" s="3"/>
      <c r="M102" s="3"/>
      <c r="N102" s="3"/>
    </row>
    <row r="103" customFormat="false" ht="64.5" hidden="false" customHeight="true" outlineLevel="0" collapsed="false">
      <c r="A103" s="3" t="s">
        <v>444</v>
      </c>
      <c r="B103" s="3" t="s">
        <v>134</v>
      </c>
      <c r="C103" s="4" t="s">
        <v>313</v>
      </c>
      <c r="D103" s="4" t="s">
        <v>338</v>
      </c>
      <c r="E103" s="4" t="s">
        <v>339</v>
      </c>
      <c r="F103" s="4" t="s">
        <v>340</v>
      </c>
      <c r="G103" s="4" t="s">
        <v>317</v>
      </c>
      <c r="H103" s="3" t="s">
        <v>124</v>
      </c>
      <c r="I103" s="4" t="s">
        <v>318</v>
      </c>
      <c r="J103" s="4" t="s">
        <v>319</v>
      </c>
      <c r="K103" s="3"/>
      <c r="L103" s="3"/>
      <c r="M103" s="3"/>
      <c r="N103" s="3"/>
    </row>
    <row r="104" customFormat="false" ht="64.5" hidden="false" customHeight="true" outlineLevel="0" collapsed="false">
      <c r="A104" s="3" t="s">
        <v>445</v>
      </c>
      <c r="B104" s="3" t="s">
        <v>134</v>
      </c>
      <c r="C104" s="4" t="s">
        <v>313</v>
      </c>
      <c r="D104" s="4" t="s">
        <v>342</v>
      </c>
      <c r="E104" s="4" t="s">
        <v>343</v>
      </c>
      <c r="F104" s="4" t="s">
        <v>344</v>
      </c>
      <c r="G104" s="4" t="s">
        <v>317</v>
      </c>
      <c r="H104" s="3" t="s">
        <v>124</v>
      </c>
      <c r="I104" s="4" t="s">
        <v>318</v>
      </c>
      <c r="J104" s="4" t="s">
        <v>319</v>
      </c>
      <c r="K104" s="3"/>
      <c r="L104" s="3"/>
      <c r="M104" s="3"/>
      <c r="N104" s="3"/>
    </row>
    <row r="105" customFormat="false" ht="64.5" hidden="false" customHeight="true" outlineLevel="0" collapsed="false">
      <c r="A105" s="3" t="s">
        <v>446</v>
      </c>
      <c r="B105" s="3" t="s">
        <v>134</v>
      </c>
      <c r="C105" s="4" t="s">
        <v>346</v>
      </c>
      <c r="D105" s="4" t="s">
        <v>347</v>
      </c>
      <c r="E105" s="4" t="s">
        <v>142</v>
      </c>
      <c r="F105" s="4" t="s">
        <v>349</v>
      </c>
      <c r="G105" s="4" t="s">
        <v>317</v>
      </c>
      <c r="H105" s="3" t="s">
        <v>124</v>
      </c>
      <c r="I105" s="4" t="s">
        <v>350</v>
      </c>
      <c r="J105" s="4" t="s">
        <v>319</v>
      </c>
      <c r="K105" s="3"/>
      <c r="L105" s="3"/>
      <c r="M105" s="3"/>
      <c r="N105" s="3"/>
    </row>
    <row r="106" customFormat="false" ht="64.5" hidden="false" customHeight="true" outlineLevel="0" collapsed="false">
      <c r="A106" s="3" t="s">
        <v>447</v>
      </c>
      <c r="B106" s="3" t="s">
        <v>143</v>
      </c>
      <c r="C106" s="4" t="s">
        <v>313</v>
      </c>
      <c r="D106" s="4" t="s">
        <v>314</v>
      </c>
      <c r="E106" s="4" t="s">
        <v>315</v>
      </c>
      <c r="F106" s="4" t="s">
        <v>316</v>
      </c>
      <c r="G106" s="4" t="s">
        <v>317</v>
      </c>
      <c r="H106" s="3" t="s">
        <v>124</v>
      </c>
      <c r="I106" s="4" t="s">
        <v>318</v>
      </c>
      <c r="J106" s="4" t="s">
        <v>319</v>
      </c>
      <c r="K106" s="3"/>
      <c r="L106" s="3"/>
      <c r="M106" s="3"/>
      <c r="N106" s="3"/>
    </row>
    <row r="107" customFormat="false" ht="64.5" hidden="false" customHeight="true" outlineLevel="0" collapsed="false">
      <c r="A107" s="3" t="s">
        <v>448</v>
      </c>
      <c r="B107" s="3" t="s">
        <v>143</v>
      </c>
      <c r="C107" s="4" t="s">
        <v>321</v>
      </c>
      <c r="D107" s="4" t="s">
        <v>322</v>
      </c>
      <c r="E107" s="4" t="s">
        <v>323</v>
      </c>
      <c r="F107" s="4" t="s">
        <v>324</v>
      </c>
      <c r="G107" s="4" t="s">
        <v>317</v>
      </c>
      <c r="H107" s="3" t="s">
        <v>124</v>
      </c>
      <c r="I107" s="4" t="s">
        <v>318</v>
      </c>
      <c r="J107" s="4" t="s">
        <v>319</v>
      </c>
      <c r="K107" s="3"/>
      <c r="L107" s="3"/>
      <c r="M107" s="3"/>
      <c r="N107" s="3"/>
    </row>
    <row r="108" customFormat="false" ht="64.5" hidden="false" customHeight="true" outlineLevel="0" collapsed="false">
      <c r="A108" s="3" t="s">
        <v>449</v>
      </c>
      <c r="B108" s="3" t="s">
        <v>143</v>
      </c>
      <c r="C108" s="4" t="s">
        <v>321</v>
      </c>
      <c r="D108" s="4" t="s">
        <v>326</v>
      </c>
      <c r="E108" s="4" t="s">
        <v>327</v>
      </c>
      <c r="F108" s="4" t="s">
        <v>328</v>
      </c>
      <c r="G108" s="4" t="s">
        <v>317</v>
      </c>
      <c r="H108" s="3" t="s">
        <v>124</v>
      </c>
      <c r="I108" s="4" t="s">
        <v>318</v>
      </c>
      <c r="J108" s="4" t="s">
        <v>319</v>
      </c>
      <c r="K108" s="3"/>
      <c r="L108" s="3"/>
      <c r="M108" s="3"/>
      <c r="N108" s="3"/>
    </row>
    <row r="109" customFormat="false" ht="64.5" hidden="false" customHeight="true" outlineLevel="0" collapsed="false">
      <c r="A109" s="3" t="s">
        <v>450</v>
      </c>
      <c r="B109" s="3" t="s">
        <v>143</v>
      </c>
      <c r="C109" s="4" t="s">
        <v>321</v>
      </c>
      <c r="D109" s="4" t="s">
        <v>330</v>
      </c>
      <c r="E109" s="4" t="s">
        <v>331</v>
      </c>
      <c r="F109" s="4" t="s">
        <v>332</v>
      </c>
      <c r="G109" s="4" t="s">
        <v>317</v>
      </c>
      <c r="H109" s="3" t="s">
        <v>124</v>
      </c>
      <c r="I109" s="4" t="s">
        <v>318</v>
      </c>
      <c r="J109" s="4" t="s">
        <v>319</v>
      </c>
      <c r="K109" s="3"/>
      <c r="L109" s="3"/>
      <c r="M109" s="3"/>
      <c r="N109" s="3"/>
    </row>
    <row r="110" customFormat="false" ht="64.5" hidden="false" customHeight="true" outlineLevel="0" collapsed="false">
      <c r="A110" s="3" t="s">
        <v>451</v>
      </c>
      <c r="B110" s="3" t="s">
        <v>143</v>
      </c>
      <c r="C110" s="4" t="s">
        <v>321</v>
      </c>
      <c r="D110" s="4" t="s">
        <v>334</v>
      </c>
      <c r="E110" s="4" t="s">
        <v>335</v>
      </c>
      <c r="F110" s="4" t="s">
        <v>336</v>
      </c>
      <c r="G110" s="4" t="s">
        <v>317</v>
      </c>
      <c r="H110" s="3" t="s">
        <v>124</v>
      </c>
      <c r="I110" s="4" t="s">
        <v>318</v>
      </c>
      <c r="J110" s="4" t="s">
        <v>319</v>
      </c>
      <c r="K110" s="3"/>
      <c r="L110" s="3"/>
      <c r="M110" s="3"/>
      <c r="N110" s="3"/>
    </row>
    <row r="111" customFormat="false" ht="64.5" hidden="false" customHeight="true" outlineLevel="0" collapsed="false">
      <c r="A111" s="3" t="s">
        <v>452</v>
      </c>
      <c r="B111" s="3" t="s">
        <v>143</v>
      </c>
      <c r="C111" s="4" t="s">
        <v>313</v>
      </c>
      <c r="D111" s="4" t="s">
        <v>338</v>
      </c>
      <c r="E111" s="4" t="s">
        <v>339</v>
      </c>
      <c r="F111" s="4" t="s">
        <v>340</v>
      </c>
      <c r="G111" s="4" t="s">
        <v>317</v>
      </c>
      <c r="H111" s="3" t="s">
        <v>124</v>
      </c>
      <c r="I111" s="4" t="s">
        <v>318</v>
      </c>
      <c r="J111" s="4" t="s">
        <v>319</v>
      </c>
      <c r="K111" s="3"/>
      <c r="L111" s="3"/>
      <c r="M111" s="3"/>
      <c r="N111" s="3"/>
    </row>
    <row r="112" customFormat="false" ht="64.5" hidden="false" customHeight="true" outlineLevel="0" collapsed="false">
      <c r="A112" s="3" t="s">
        <v>453</v>
      </c>
      <c r="B112" s="3" t="s">
        <v>143</v>
      </c>
      <c r="C112" s="4" t="s">
        <v>313</v>
      </c>
      <c r="D112" s="4" t="s">
        <v>342</v>
      </c>
      <c r="E112" s="4" t="s">
        <v>343</v>
      </c>
      <c r="F112" s="4" t="s">
        <v>344</v>
      </c>
      <c r="G112" s="4" t="s">
        <v>317</v>
      </c>
      <c r="H112" s="3" t="s">
        <v>124</v>
      </c>
      <c r="I112" s="4" t="s">
        <v>318</v>
      </c>
      <c r="J112" s="4" t="s">
        <v>319</v>
      </c>
      <c r="K112" s="3"/>
      <c r="L112" s="3"/>
      <c r="M112" s="3"/>
      <c r="N112" s="3"/>
    </row>
    <row r="113" customFormat="false" ht="64.5" hidden="false" customHeight="true" outlineLevel="0" collapsed="false">
      <c r="A113" s="3" t="s">
        <v>454</v>
      </c>
      <c r="B113" s="3" t="s">
        <v>143</v>
      </c>
      <c r="C113" s="4" t="s">
        <v>346</v>
      </c>
      <c r="D113" s="4" t="s">
        <v>347</v>
      </c>
      <c r="E113" s="4" t="s">
        <v>151</v>
      </c>
      <c r="F113" s="4" t="s">
        <v>349</v>
      </c>
      <c r="G113" s="4" t="s">
        <v>317</v>
      </c>
      <c r="H113" s="3" t="s">
        <v>124</v>
      </c>
      <c r="I113" s="4" t="s">
        <v>350</v>
      </c>
      <c r="J113" s="4" t="s">
        <v>319</v>
      </c>
      <c r="K113" s="3"/>
      <c r="L113" s="3"/>
      <c r="M113" s="3"/>
      <c r="N113" s="3"/>
    </row>
    <row r="114" customFormat="false" ht="64.5" hidden="false" customHeight="true" outlineLevel="0" collapsed="false">
      <c r="A114" s="3" t="s">
        <v>455</v>
      </c>
      <c r="B114" s="3" t="s">
        <v>152</v>
      </c>
      <c r="C114" s="4" t="s">
        <v>313</v>
      </c>
      <c r="D114" s="4" t="s">
        <v>314</v>
      </c>
      <c r="E114" s="4" t="s">
        <v>315</v>
      </c>
      <c r="F114" s="4" t="s">
        <v>316</v>
      </c>
      <c r="G114" s="4" t="s">
        <v>317</v>
      </c>
      <c r="H114" s="3" t="s">
        <v>124</v>
      </c>
      <c r="I114" s="4" t="s">
        <v>318</v>
      </c>
      <c r="J114" s="4" t="s">
        <v>319</v>
      </c>
      <c r="K114" s="3"/>
      <c r="L114" s="3"/>
      <c r="M114" s="3"/>
      <c r="N114" s="3"/>
    </row>
    <row r="115" customFormat="false" ht="64.5" hidden="false" customHeight="true" outlineLevel="0" collapsed="false">
      <c r="A115" s="3" t="s">
        <v>456</v>
      </c>
      <c r="B115" s="3" t="s">
        <v>152</v>
      </c>
      <c r="C115" s="4" t="s">
        <v>321</v>
      </c>
      <c r="D115" s="4" t="s">
        <v>322</v>
      </c>
      <c r="E115" s="4" t="s">
        <v>323</v>
      </c>
      <c r="F115" s="4" t="s">
        <v>324</v>
      </c>
      <c r="G115" s="4" t="s">
        <v>317</v>
      </c>
      <c r="H115" s="3" t="s">
        <v>124</v>
      </c>
      <c r="I115" s="4" t="s">
        <v>318</v>
      </c>
      <c r="J115" s="4" t="s">
        <v>319</v>
      </c>
      <c r="K115" s="3"/>
      <c r="L115" s="3"/>
      <c r="M115" s="3"/>
      <c r="N115" s="3"/>
    </row>
    <row r="116" customFormat="false" ht="64.5" hidden="false" customHeight="true" outlineLevel="0" collapsed="false">
      <c r="A116" s="3" t="s">
        <v>457</v>
      </c>
      <c r="B116" s="3" t="s">
        <v>152</v>
      </c>
      <c r="C116" s="4" t="s">
        <v>321</v>
      </c>
      <c r="D116" s="4" t="s">
        <v>326</v>
      </c>
      <c r="E116" s="4" t="s">
        <v>327</v>
      </c>
      <c r="F116" s="4" t="s">
        <v>328</v>
      </c>
      <c r="G116" s="4" t="s">
        <v>317</v>
      </c>
      <c r="H116" s="3" t="s">
        <v>124</v>
      </c>
      <c r="I116" s="4" t="s">
        <v>318</v>
      </c>
      <c r="J116" s="4" t="s">
        <v>319</v>
      </c>
      <c r="K116" s="3"/>
      <c r="L116" s="3"/>
      <c r="M116" s="3"/>
      <c r="N116" s="3"/>
    </row>
    <row r="117" customFormat="false" ht="64.5" hidden="false" customHeight="true" outlineLevel="0" collapsed="false">
      <c r="A117" s="3" t="s">
        <v>458</v>
      </c>
      <c r="B117" s="3" t="s">
        <v>152</v>
      </c>
      <c r="C117" s="4" t="s">
        <v>321</v>
      </c>
      <c r="D117" s="4" t="s">
        <v>330</v>
      </c>
      <c r="E117" s="4" t="s">
        <v>331</v>
      </c>
      <c r="F117" s="4" t="s">
        <v>332</v>
      </c>
      <c r="G117" s="4" t="s">
        <v>317</v>
      </c>
      <c r="H117" s="3" t="s">
        <v>124</v>
      </c>
      <c r="I117" s="4" t="s">
        <v>318</v>
      </c>
      <c r="J117" s="4" t="s">
        <v>319</v>
      </c>
      <c r="K117" s="3"/>
      <c r="L117" s="3"/>
      <c r="M117" s="3"/>
      <c r="N117" s="3"/>
    </row>
    <row r="118" customFormat="false" ht="64.5" hidden="false" customHeight="true" outlineLevel="0" collapsed="false">
      <c r="A118" s="3" t="s">
        <v>459</v>
      </c>
      <c r="B118" s="3" t="s">
        <v>152</v>
      </c>
      <c r="C118" s="4" t="s">
        <v>321</v>
      </c>
      <c r="D118" s="4" t="s">
        <v>334</v>
      </c>
      <c r="E118" s="4" t="s">
        <v>335</v>
      </c>
      <c r="F118" s="4" t="s">
        <v>336</v>
      </c>
      <c r="G118" s="4" t="s">
        <v>317</v>
      </c>
      <c r="H118" s="3" t="s">
        <v>124</v>
      </c>
      <c r="I118" s="4" t="s">
        <v>318</v>
      </c>
      <c r="J118" s="4" t="s">
        <v>319</v>
      </c>
      <c r="K118" s="3"/>
      <c r="L118" s="3"/>
      <c r="M118" s="3"/>
      <c r="N118" s="3"/>
    </row>
    <row r="119" customFormat="false" ht="64.5" hidden="false" customHeight="true" outlineLevel="0" collapsed="false">
      <c r="A119" s="3" t="s">
        <v>460</v>
      </c>
      <c r="B119" s="3" t="s">
        <v>152</v>
      </c>
      <c r="C119" s="4" t="s">
        <v>313</v>
      </c>
      <c r="D119" s="4" t="s">
        <v>338</v>
      </c>
      <c r="E119" s="4" t="s">
        <v>339</v>
      </c>
      <c r="F119" s="4" t="s">
        <v>340</v>
      </c>
      <c r="G119" s="4" t="s">
        <v>317</v>
      </c>
      <c r="H119" s="3" t="s">
        <v>124</v>
      </c>
      <c r="I119" s="4" t="s">
        <v>318</v>
      </c>
      <c r="J119" s="4" t="s">
        <v>319</v>
      </c>
      <c r="K119" s="3"/>
      <c r="L119" s="3"/>
      <c r="M119" s="3"/>
      <c r="N119" s="3"/>
    </row>
    <row r="120" customFormat="false" ht="64.5" hidden="false" customHeight="true" outlineLevel="0" collapsed="false">
      <c r="A120" s="3" t="s">
        <v>461</v>
      </c>
      <c r="B120" s="3" t="s">
        <v>152</v>
      </c>
      <c r="C120" s="4" t="s">
        <v>313</v>
      </c>
      <c r="D120" s="4" t="s">
        <v>342</v>
      </c>
      <c r="E120" s="4" t="s">
        <v>343</v>
      </c>
      <c r="F120" s="4" t="s">
        <v>344</v>
      </c>
      <c r="G120" s="4" t="s">
        <v>317</v>
      </c>
      <c r="H120" s="3" t="s">
        <v>124</v>
      </c>
      <c r="I120" s="4" t="s">
        <v>318</v>
      </c>
      <c r="J120" s="4" t="s">
        <v>319</v>
      </c>
      <c r="K120" s="3"/>
      <c r="L120" s="3"/>
      <c r="M120" s="3"/>
      <c r="N120" s="3"/>
    </row>
    <row r="121" customFormat="false" ht="64.5" hidden="false" customHeight="true" outlineLevel="0" collapsed="false">
      <c r="A121" s="3" t="s">
        <v>462</v>
      </c>
      <c r="B121" s="3" t="s">
        <v>152</v>
      </c>
      <c r="C121" s="4" t="s">
        <v>346</v>
      </c>
      <c r="D121" s="4" t="s">
        <v>347</v>
      </c>
      <c r="E121" s="4" t="s">
        <v>161</v>
      </c>
      <c r="F121" s="4" t="s">
        <v>349</v>
      </c>
      <c r="G121" s="4" t="s">
        <v>317</v>
      </c>
      <c r="H121" s="3" t="s">
        <v>124</v>
      </c>
      <c r="I121" s="4" t="s">
        <v>350</v>
      </c>
      <c r="J121" s="4" t="s">
        <v>319</v>
      </c>
      <c r="K121" s="3"/>
      <c r="L121" s="3"/>
      <c r="M121" s="3"/>
      <c r="N121" s="3"/>
    </row>
    <row r="122" customFormat="false" ht="64.5" hidden="false" customHeight="true" outlineLevel="0" collapsed="false">
      <c r="A122" s="3" t="s">
        <v>463</v>
      </c>
      <c r="B122" s="3" t="s">
        <v>162</v>
      </c>
      <c r="C122" s="4" t="s">
        <v>313</v>
      </c>
      <c r="D122" s="4" t="s">
        <v>314</v>
      </c>
      <c r="E122" s="4" t="s">
        <v>315</v>
      </c>
      <c r="F122" s="4" t="s">
        <v>316</v>
      </c>
      <c r="G122" s="4" t="s">
        <v>317</v>
      </c>
      <c r="H122" s="3" t="s">
        <v>170</v>
      </c>
      <c r="I122" s="4" t="s">
        <v>318</v>
      </c>
      <c r="J122" s="4" t="s">
        <v>319</v>
      </c>
      <c r="K122" s="3"/>
      <c r="L122" s="3"/>
      <c r="M122" s="3"/>
      <c r="N122" s="3"/>
    </row>
    <row r="123" customFormat="false" ht="64.5" hidden="false" customHeight="true" outlineLevel="0" collapsed="false">
      <c r="A123" s="3" t="s">
        <v>464</v>
      </c>
      <c r="B123" s="3" t="s">
        <v>162</v>
      </c>
      <c r="C123" s="4" t="s">
        <v>321</v>
      </c>
      <c r="D123" s="4" t="s">
        <v>322</v>
      </c>
      <c r="E123" s="4" t="s">
        <v>323</v>
      </c>
      <c r="F123" s="4" t="s">
        <v>324</v>
      </c>
      <c r="G123" s="4" t="s">
        <v>317</v>
      </c>
      <c r="H123" s="3" t="s">
        <v>170</v>
      </c>
      <c r="I123" s="4" t="s">
        <v>318</v>
      </c>
      <c r="J123" s="4" t="s">
        <v>319</v>
      </c>
      <c r="K123" s="3"/>
      <c r="L123" s="3"/>
      <c r="M123" s="3"/>
      <c r="N123" s="3"/>
    </row>
    <row r="124" customFormat="false" ht="64.5" hidden="false" customHeight="true" outlineLevel="0" collapsed="false">
      <c r="A124" s="3" t="s">
        <v>465</v>
      </c>
      <c r="B124" s="3" t="s">
        <v>162</v>
      </c>
      <c r="C124" s="4" t="s">
        <v>321</v>
      </c>
      <c r="D124" s="4" t="s">
        <v>326</v>
      </c>
      <c r="E124" s="4" t="s">
        <v>327</v>
      </c>
      <c r="F124" s="4" t="s">
        <v>328</v>
      </c>
      <c r="G124" s="4" t="s">
        <v>317</v>
      </c>
      <c r="H124" s="3" t="s">
        <v>170</v>
      </c>
      <c r="I124" s="4" t="s">
        <v>318</v>
      </c>
      <c r="J124" s="4" t="s">
        <v>319</v>
      </c>
      <c r="K124" s="3"/>
      <c r="L124" s="3"/>
      <c r="M124" s="3"/>
      <c r="N124" s="3"/>
    </row>
    <row r="125" customFormat="false" ht="64.5" hidden="false" customHeight="true" outlineLevel="0" collapsed="false">
      <c r="A125" s="3" t="s">
        <v>466</v>
      </c>
      <c r="B125" s="3" t="s">
        <v>162</v>
      </c>
      <c r="C125" s="4" t="s">
        <v>321</v>
      </c>
      <c r="D125" s="4" t="s">
        <v>330</v>
      </c>
      <c r="E125" s="4" t="s">
        <v>331</v>
      </c>
      <c r="F125" s="4" t="s">
        <v>332</v>
      </c>
      <c r="G125" s="4" t="s">
        <v>317</v>
      </c>
      <c r="H125" s="3" t="s">
        <v>170</v>
      </c>
      <c r="I125" s="4" t="s">
        <v>318</v>
      </c>
      <c r="J125" s="4" t="s">
        <v>319</v>
      </c>
      <c r="K125" s="3"/>
      <c r="L125" s="3"/>
      <c r="M125" s="3"/>
      <c r="N125" s="3"/>
    </row>
    <row r="126" customFormat="false" ht="64.5" hidden="false" customHeight="true" outlineLevel="0" collapsed="false">
      <c r="A126" s="3" t="s">
        <v>467</v>
      </c>
      <c r="B126" s="3" t="s">
        <v>162</v>
      </c>
      <c r="C126" s="4" t="s">
        <v>321</v>
      </c>
      <c r="D126" s="4" t="s">
        <v>334</v>
      </c>
      <c r="E126" s="4" t="s">
        <v>335</v>
      </c>
      <c r="F126" s="4" t="s">
        <v>336</v>
      </c>
      <c r="G126" s="4" t="s">
        <v>317</v>
      </c>
      <c r="H126" s="3" t="s">
        <v>170</v>
      </c>
      <c r="I126" s="4" t="s">
        <v>318</v>
      </c>
      <c r="J126" s="4" t="s">
        <v>319</v>
      </c>
      <c r="K126" s="3"/>
      <c r="L126" s="3"/>
      <c r="M126" s="3"/>
      <c r="N126" s="3"/>
    </row>
    <row r="127" customFormat="false" ht="64.5" hidden="false" customHeight="true" outlineLevel="0" collapsed="false">
      <c r="A127" s="3" t="s">
        <v>468</v>
      </c>
      <c r="B127" s="3" t="s">
        <v>162</v>
      </c>
      <c r="C127" s="4" t="s">
        <v>313</v>
      </c>
      <c r="D127" s="4" t="s">
        <v>338</v>
      </c>
      <c r="E127" s="4" t="s">
        <v>339</v>
      </c>
      <c r="F127" s="4" t="s">
        <v>340</v>
      </c>
      <c r="G127" s="4" t="s">
        <v>317</v>
      </c>
      <c r="H127" s="3" t="s">
        <v>170</v>
      </c>
      <c r="I127" s="4" t="s">
        <v>318</v>
      </c>
      <c r="J127" s="4" t="s">
        <v>319</v>
      </c>
      <c r="K127" s="3"/>
      <c r="L127" s="3"/>
      <c r="M127" s="3"/>
      <c r="N127" s="3"/>
    </row>
    <row r="128" customFormat="false" ht="64.5" hidden="false" customHeight="true" outlineLevel="0" collapsed="false">
      <c r="A128" s="3" t="s">
        <v>469</v>
      </c>
      <c r="B128" s="3" t="s">
        <v>162</v>
      </c>
      <c r="C128" s="4" t="s">
        <v>313</v>
      </c>
      <c r="D128" s="4" t="s">
        <v>342</v>
      </c>
      <c r="E128" s="4" t="s">
        <v>343</v>
      </c>
      <c r="F128" s="4" t="s">
        <v>344</v>
      </c>
      <c r="G128" s="4" t="s">
        <v>317</v>
      </c>
      <c r="H128" s="3" t="s">
        <v>170</v>
      </c>
      <c r="I128" s="4" t="s">
        <v>318</v>
      </c>
      <c r="J128" s="4" t="s">
        <v>319</v>
      </c>
      <c r="K128" s="3"/>
      <c r="L128" s="3"/>
      <c r="M128" s="3"/>
      <c r="N128" s="3"/>
    </row>
    <row r="129" customFormat="false" ht="64.5" hidden="false" customHeight="true" outlineLevel="0" collapsed="false">
      <c r="A129" s="3" t="s">
        <v>470</v>
      </c>
      <c r="B129" s="3" t="s">
        <v>162</v>
      </c>
      <c r="C129" s="4" t="s">
        <v>346</v>
      </c>
      <c r="D129" s="4" t="s">
        <v>347</v>
      </c>
      <c r="E129" s="4" t="s">
        <v>172</v>
      </c>
      <c r="F129" s="4" t="s">
        <v>349</v>
      </c>
      <c r="G129" s="4" t="s">
        <v>317</v>
      </c>
      <c r="H129" s="3" t="s">
        <v>170</v>
      </c>
      <c r="I129" s="4" t="s">
        <v>350</v>
      </c>
      <c r="J129" s="4" t="s">
        <v>319</v>
      </c>
      <c r="K129" s="3"/>
      <c r="L129" s="3"/>
      <c r="M129" s="3"/>
      <c r="N129" s="3"/>
    </row>
    <row r="130" customFormat="false" ht="64.5" hidden="false" customHeight="true" outlineLevel="0" collapsed="false">
      <c r="A130" s="3" t="s">
        <v>471</v>
      </c>
      <c r="B130" s="3" t="s">
        <v>173</v>
      </c>
      <c r="C130" s="4" t="s">
        <v>313</v>
      </c>
      <c r="D130" s="4" t="s">
        <v>314</v>
      </c>
      <c r="E130" s="4" t="s">
        <v>315</v>
      </c>
      <c r="F130" s="4" t="s">
        <v>316</v>
      </c>
      <c r="G130" s="4" t="s">
        <v>317</v>
      </c>
      <c r="H130" s="3" t="s">
        <v>179</v>
      </c>
      <c r="I130" s="4" t="s">
        <v>318</v>
      </c>
      <c r="J130" s="4" t="s">
        <v>319</v>
      </c>
      <c r="K130" s="3"/>
      <c r="L130" s="3"/>
      <c r="M130" s="3"/>
      <c r="N130" s="3"/>
    </row>
    <row r="131" customFormat="false" ht="64.5" hidden="false" customHeight="true" outlineLevel="0" collapsed="false">
      <c r="A131" s="3" t="s">
        <v>472</v>
      </c>
      <c r="B131" s="3" t="s">
        <v>173</v>
      </c>
      <c r="C131" s="4" t="s">
        <v>321</v>
      </c>
      <c r="D131" s="4" t="s">
        <v>322</v>
      </c>
      <c r="E131" s="4" t="s">
        <v>323</v>
      </c>
      <c r="F131" s="4" t="s">
        <v>324</v>
      </c>
      <c r="G131" s="4" t="s">
        <v>317</v>
      </c>
      <c r="H131" s="3" t="s">
        <v>179</v>
      </c>
      <c r="I131" s="4" t="s">
        <v>318</v>
      </c>
      <c r="J131" s="4" t="s">
        <v>319</v>
      </c>
      <c r="K131" s="3"/>
      <c r="L131" s="3"/>
      <c r="M131" s="3"/>
      <c r="N131" s="3"/>
    </row>
    <row r="132" customFormat="false" ht="64.5" hidden="false" customHeight="true" outlineLevel="0" collapsed="false">
      <c r="A132" s="3" t="s">
        <v>473</v>
      </c>
      <c r="B132" s="3" t="s">
        <v>173</v>
      </c>
      <c r="C132" s="4" t="s">
        <v>321</v>
      </c>
      <c r="D132" s="4" t="s">
        <v>326</v>
      </c>
      <c r="E132" s="4" t="s">
        <v>327</v>
      </c>
      <c r="F132" s="4" t="s">
        <v>328</v>
      </c>
      <c r="G132" s="4" t="s">
        <v>317</v>
      </c>
      <c r="H132" s="3" t="s">
        <v>179</v>
      </c>
      <c r="I132" s="4" t="s">
        <v>318</v>
      </c>
      <c r="J132" s="4" t="s">
        <v>319</v>
      </c>
      <c r="K132" s="3"/>
      <c r="L132" s="3"/>
      <c r="M132" s="3"/>
      <c r="N132" s="3"/>
    </row>
    <row r="133" customFormat="false" ht="64.5" hidden="false" customHeight="true" outlineLevel="0" collapsed="false">
      <c r="A133" s="3" t="s">
        <v>474</v>
      </c>
      <c r="B133" s="3" t="s">
        <v>173</v>
      </c>
      <c r="C133" s="4" t="s">
        <v>321</v>
      </c>
      <c r="D133" s="4" t="s">
        <v>330</v>
      </c>
      <c r="E133" s="4" t="s">
        <v>331</v>
      </c>
      <c r="F133" s="4" t="s">
        <v>332</v>
      </c>
      <c r="G133" s="4" t="s">
        <v>317</v>
      </c>
      <c r="H133" s="3" t="s">
        <v>179</v>
      </c>
      <c r="I133" s="4" t="s">
        <v>318</v>
      </c>
      <c r="J133" s="4" t="s">
        <v>319</v>
      </c>
      <c r="K133" s="3"/>
      <c r="L133" s="3"/>
      <c r="M133" s="3"/>
      <c r="N133" s="3"/>
    </row>
    <row r="134" customFormat="false" ht="64.5" hidden="false" customHeight="true" outlineLevel="0" collapsed="false">
      <c r="A134" s="3" t="s">
        <v>475</v>
      </c>
      <c r="B134" s="3" t="s">
        <v>173</v>
      </c>
      <c r="C134" s="4" t="s">
        <v>321</v>
      </c>
      <c r="D134" s="4" t="s">
        <v>334</v>
      </c>
      <c r="E134" s="4" t="s">
        <v>335</v>
      </c>
      <c r="F134" s="4" t="s">
        <v>336</v>
      </c>
      <c r="G134" s="4" t="s">
        <v>317</v>
      </c>
      <c r="H134" s="3" t="s">
        <v>179</v>
      </c>
      <c r="I134" s="4" t="s">
        <v>318</v>
      </c>
      <c r="J134" s="4" t="s">
        <v>319</v>
      </c>
      <c r="K134" s="3"/>
      <c r="L134" s="3"/>
      <c r="M134" s="3"/>
      <c r="N134" s="3"/>
    </row>
    <row r="135" customFormat="false" ht="64.5" hidden="false" customHeight="true" outlineLevel="0" collapsed="false">
      <c r="A135" s="3" t="s">
        <v>476</v>
      </c>
      <c r="B135" s="3" t="s">
        <v>173</v>
      </c>
      <c r="C135" s="4" t="s">
        <v>313</v>
      </c>
      <c r="D135" s="4" t="s">
        <v>338</v>
      </c>
      <c r="E135" s="4" t="s">
        <v>339</v>
      </c>
      <c r="F135" s="4" t="s">
        <v>340</v>
      </c>
      <c r="G135" s="4" t="s">
        <v>317</v>
      </c>
      <c r="H135" s="3" t="s">
        <v>179</v>
      </c>
      <c r="I135" s="4" t="s">
        <v>318</v>
      </c>
      <c r="J135" s="4" t="s">
        <v>319</v>
      </c>
      <c r="K135" s="3"/>
      <c r="L135" s="3"/>
      <c r="M135" s="3"/>
      <c r="N135" s="3"/>
    </row>
    <row r="136" customFormat="false" ht="64.5" hidden="false" customHeight="true" outlineLevel="0" collapsed="false">
      <c r="A136" s="3" t="s">
        <v>477</v>
      </c>
      <c r="B136" s="3" t="s">
        <v>173</v>
      </c>
      <c r="C136" s="4" t="s">
        <v>313</v>
      </c>
      <c r="D136" s="4" t="s">
        <v>342</v>
      </c>
      <c r="E136" s="4" t="s">
        <v>343</v>
      </c>
      <c r="F136" s="4" t="s">
        <v>344</v>
      </c>
      <c r="G136" s="4" t="s">
        <v>317</v>
      </c>
      <c r="H136" s="3" t="s">
        <v>179</v>
      </c>
      <c r="I136" s="4" t="s">
        <v>318</v>
      </c>
      <c r="J136" s="4" t="s">
        <v>319</v>
      </c>
      <c r="K136" s="3"/>
      <c r="L136" s="3"/>
      <c r="M136" s="3"/>
      <c r="N136" s="3"/>
    </row>
    <row r="137" customFormat="false" ht="64.5" hidden="false" customHeight="true" outlineLevel="0" collapsed="false">
      <c r="A137" s="3" t="s">
        <v>478</v>
      </c>
      <c r="B137" s="3" t="s">
        <v>173</v>
      </c>
      <c r="C137" s="4" t="s">
        <v>346</v>
      </c>
      <c r="D137" s="4" t="s">
        <v>347</v>
      </c>
      <c r="E137" s="4" t="s">
        <v>180</v>
      </c>
      <c r="F137" s="4" t="s">
        <v>349</v>
      </c>
      <c r="G137" s="4" t="s">
        <v>317</v>
      </c>
      <c r="H137" s="3" t="s">
        <v>179</v>
      </c>
      <c r="I137" s="4" t="s">
        <v>350</v>
      </c>
      <c r="J137" s="4" t="s">
        <v>319</v>
      </c>
      <c r="K137" s="3"/>
      <c r="L137" s="3"/>
      <c r="M137" s="3"/>
      <c r="N137" s="3"/>
    </row>
    <row r="138" customFormat="false" ht="64.5" hidden="false" customHeight="true" outlineLevel="0" collapsed="false">
      <c r="A138" s="3" t="s">
        <v>479</v>
      </c>
      <c r="B138" s="3" t="s">
        <v>181</v>
      </c>
      <c r="C138" s="4" t="s">
        <v>313</v>
      </c>
      <c r="D138" s="4" t="s">
        <v>314</v>
      </c>
      <c r="E138" s="4" t="s">
        <v>315</v>
      </c>
      <c r="F138" s="4" t="s">
        <v>316</v>
      </c>
      <c r="G138" s="4" t="s">
        <v>317</v>
      </c>
      <c r="H138" s="3" t="s">
        <v>179</v>
      </c>
      <c r="I138" s="4" t="s">
        <v>318</v>
      </c>
      <c r="J138" s="4" t="s">
        <v>319</v>
      </c>
      <c r="K138" s="3"/>
      <c r="L138" s="3"/>
      <c r="M138" s="3"/>
      <c r="N138" s="3"/>
    </row>
    <row r="139" customFormat="false" ht="64.5" hidden="false" customHeight="true" outlineLevel="0" collapsed="false">
      <c r="A139" s="3" t="s">
        <v>480</v>
      </c>
      <c r="B139" s="3" t="s">
        <v>181</v>
      </c>
      <c r="C139" s="4" t="s">
        <v>321</v>
      </c>
      <c r="D139" s="4" t="s">
        <v>322</v>
      </c>
      <c r="E139" s="4" t="s">
        <v>323</v>
      </c>
      <c r="F139" s="4" t="s">
        <v>324</v>
      </c>
      <c r="G139" s="4" t="s">
        <v>317</v>
      </c>
      <c r="H139" s="3" t="s">
        <v>179</v>
      </c>
      <c r="I139" s="4" t="s">
        <v>318</v>
      </c>
      <c r="J139" s="4" t="s">
        <v>319</v>
      </c>
      <c r="K139" s="3"/>
      <c r="L139" s="3"/>
      <c r="M139" s="3"/>
      <c r="N139" s="3"/>
    </row>
    <row r="140" customFormat="false" ht="64.5" hidden="false" customHeight="true" outlineLevel="0" collapsed="false">
      <c r="A140" s="3" t="s">
        <v>481</v>
      </c>
      <c r="B140" s="3" t="s">
        <v>181</v>
      </c>
      <c r="C140" s="4" t="s">
        <v>321</v>
      </c>
      <c r="D140" s="4" t="s">
        <v>326</v>
      </c>
      <c r="E140" s="4" t="s">
        <v>327</v>
      </c>
      <c r="F140" s="4" t="s">
        <v>328</v>
      </c>
      <c r="G140" s="4" t="s">
        <v>317</v>
      </c>
      <c r="H140" s="3" t="s">
        <v>179</v>
      </c>
      <c r="I140" s="4" t="s">
        <v>318</v>
      </c>
      <c r="J140" s="4" t="s">
        <v>319</v>
      </c>
      <c r="K140" s="3"/>
      <c r="L140" s="3"/>
      <c r="M140" s="3"/>
      <c r="N140" s="3"/>
    </row>
    <row r="141" customFormat="false" ht="64.5" hidden="false" customHeight="true" outlineLevel="0" collapsed="false">
      <c r="A141" s="3" t="s">
        <v>482</v>
      </c>
      <c r="B141" s="3" t="s">
        <v>181</v>
      </c>
      <c r="C141" s="4" t="s">
        <v>321</v>
      </c>
      <c r="D141" s="4" t="s">
        <v>330</v>
      </c>
      <c r="E141" s="4" t="s">
        <v>331</v>
      </c>
      <c r="F141" s="4" t="s">
        <v>332</v>
      </c>
      <c r="G141" s="4" t="s">
        <v>317</v>
      </c>
      <c r="H141" s="3" t="s">
        <v>179</v>
      </c>
      <c r="I141" s="4" t="s">
        <v>318</v>
      </c>
      <c r="J141" s="4" t="s">
        <v>319</v>
      </c>
      <c r="K141" s="3"/>
      <c r="L141" s="3"/>
      <c r="M141" s="3"/>
      <c r="N141" s="3"/>
    </row>
    <row r="142" customFormat="false" ht="64.5" hidden="false" customHeight="true" outlineLevel="0" collapsed="false">
      <c r="A142" s="3" t="s">
        <v>483</v>
      </c>
      <c r="B142" s="3" t="s">
        <v>181</v>
      </c>
      <c r="C142" s="4" t="s">
        <v>321</v>
      </c>
      <c r="D142" s="4" t="s">
        <v>334</v>
      </c>
      <c r="E142" s="4" t="s">
        <v>335</v>
      </c>
      <c r="F142" s="4" t="s">
        <v>336</v>
      </c>
      <c r="G142" s="4" t="s">
        <v>317</v>
      </c>
      <c r="H142" s="3" t="s">
        <v>179</v>
      </c>
      <c r="I142" s="4" t="s">
        <v>318</v>
      </c>
      <c r="J142" s="4" t="s">
        <v>319</v>
      </c>
      <c r="K142" s="3"/>
      <c r="L142" s="3"/>
      <c r="M142" s="3"/>
      <c r="N142" s="3"/>
    </row>
    <row r="143" customFormat="false" ht="64.5" hidden="false" customHeight="true" outlineLevel="0" collapsed="false">
      <c r="A143" s="3" t="s">
        <v>484</v>
      </c>
      <c r="B143" s="3" t="s">
        <v>181</v>
      </c>
      <c r="C143" s="4" t="s">
        <v>313</v>
      </c>
      <c r="D143" s="4" t="s">
        <v>338</v>
      </c>
      <c r="E143" s="4" t="s">
        <v>339</v>
      </c>
      <c r="F143" s="4" t="s">
        <v>340</v>
      </c>
      <c r="G143" s="4" t="s">
        <v>317</v>
      </c>
      <c r="H143" s="3" t="s">
        <v>179</v>
      </c>
      <c r="I143" s="4" t="s">
        <v>318</v>
      </c>
      <c r="J143" s="4" t="s">
        <v>319</v>
      </c>
      <c r="K143" s="3"/>
      <c r="L143" s="3"/>
      <c r="M143" s="3"/>
      <c r="N143" s="3"/>
    </row>
    <row r="144" customFormat="false" ht="64.5" hidden="false" customHeight="true" outlineLevel="0" collapsed="false">
      <c r="A144" s="3" t="s">
        <v>485</v>
      </c>
      <c r="B144" s="3" t="s">
        <v>181</v>
      </c>
      <c r="C144" s="4" t="s">
        <v>313</v>
      </c>
      <c r="D144" s="4" t="s">
        <v>342</v>
      </c>
      <c r="E144" s="4" t="s">
        <v>343</v>
      </c>
      <c r="F144" s="4" t="s">
        <v>344</v>
      </c>
      <c r="G144" s="4" t="s">
        <v>317</v>
      </c>
      <c r="H144" s="3" t="s">
        <v>179</v>
      </c>
      <c r="I144" s="4" t="s">
        <v>318</v>
      </c>
      <c r="J144" s="4" t="s">
        <v>319</v>
      </c>
      <c r="K144" s="3"/>
      <c r="L144" s="3"/>
      <c r="M144" s="3"/>
      <c r="N144" s="3"/>
    </row>
    <row r="145" customFormat="false" ht="64.5" hidden="false" customHeight="true" outlineLevel="0" collapsed="false">
      <c r="A145" s="3" t="s">
        <v>486</v>
      </c>
      <c r="B145" s="3" t="s">
        <v>181</v>
      </c>
      <c r="C145" s="4" t="s">
        <v>346</v>
      </c>
      <c r="D145" s="4" t="s">
        <v>347</v>
      </c>
      <c r="E145" s="4" t="s">
        <v>189</v>
      </c>
      <c r="F145" s="4" t="s">
        <v>349</v>
      </c>
      <c r="G145" s="4" t="s">
        <v>317</v>
      </c>
      <c r="H145" s="3" t="s">
        <v>179</v>
      </c>
      <c r="I145" s="4" t="s">
        <v>350</v>
      </c>
      <c r="J145" s="4" t="s">
        <v>319</v>
      </c>
      <c r="K145" s="3"/>
      <c r="L145" s="3"/>
      <c r="M145" s="3"/>
      <c r="N145" s="3"/>
    </row>
    <row r="146" customFormat="false" ht="64.5" hidden="false" customHeight="true" outlineLevel="0" collapsed="false">
      <c r="A146" s="3" t="s">
        <v>487</v>
      </c>
      <c r="B146" s="3" t="s">
        <v>190</v>
      </c>
      <c r="C146" s="4" t="s">
        <v>313</v>
      </c>
      <c r="D146" s="4" t="s">
        <v>314</v>
      </c>
      <c r="E146" s="4" t="s">
        <v>315</v>
      </c>
      <c r="F146" s="4" t="s">
        <v>316</v>
      </c>
      <c r="G146" s="4" t="s">
        <v>317</v>
      </c>
      <c r="H146" s="3" t="s">
        <v>179</v>
      </c>
      <c r="I146" s="4" t="s">
        <v>318</v>
      </c>
      <c r="J146" s="4" t="s">
        <v>319</v>
      </c>
      <c r="K146" s="3"/>
      <c r="L146" s="3"/>
      <c r="M146" s="3"/>
      <c r="N146" s="3"/>
    </row>
    <row r="147" customFormat="false" ht="64.5" hidden="false" customHeight="true" outlineLevel="0" collapsed="false">
      <c r="A147" s="3" t="s">
        <v>488</v>
      </c>
      <c r="B147" s="3" t="s">
        <v>190</v>
      </c>
      <c r="C147" s="4" t="s">
        <v>321</v>
      </c>
      <c r="D147" s="4" t="s">
        <v>322</v>
      </c>
      <c r="E147" s="4" t="s">
        <v>323</v>
      </c>
      <c r="F147" s="4" t="s">
        <v>324</v>
      </c>
      <c r="G147" s="4" t="s">
        <v>317</v>
      </c>
      <c r="H147" s="3" t="s">
        <v>179</v>
      </c>
      <c r="I147" s="4" t="s">
        <v>318</v>
      </c>
      <c r="J147" s="4" t="s">
        <v>319</v>
      </c>
      <c r="K147" s="3"/>
      <c r="L147" s="3"/>
      <c r="M147" s="3"/>
      <c r="N147" s="3"/>
    </row>
    <row r="148" customFormat="false" ht="64.5" hidden="false" customHeight="true" outlineLevel="0" collapsed="false">
      <c r="A148" s="3" t="s">
        <v>489</v>
      </c>
      <c r="B148" s="3" t="s">
        <v>190</v>
      </c>
      <c r="C148" s="4" t="s">
        <v>321</v>
      </c>
      <c r="D148" s="4" t="s">
        <v>326</v>
      </c>
      <c r="E148" s="4" t="s">
        <v>327</v>
      </c>
      <c r="F148" s="4" t="s">
        <v>328</v>
      </c>
      <c r="G148" s="4" t="s">
        <v>317</v>
      </c>
      <c r="H148" s="3" t="s">
        <v>179</v>
      </c>
      <c r="I148" s="4" t="s">
        <v>318</v>
      </c>
      <c r="J148" s="4" t="s">
        <v>319</v>
      </c>
      <c r="K148" s="3"/>
      <c r="L148" s="3"/>
      <c r="M148" s="3"/>
      <c r="N148" s="3"/>
    </row>
    <row r="149" customFormat="false" ht="64.5" hidden="false" customHeight="true" outlineLevel="0" collapsed="false">
      <c r="A149" s="3" t="s">
        <v>490</v>
      </c>
      <c r="B149" s="3" t="s">
        <v>190</v>
      </c>
      <c r="C149" s="4" t="s">
        <v>321</v>
      </c>
      <c r="D149" s="4" t="s">
        <v>330</v>
      </c>
      <c r="E149" s="4" t="s">
        <v>331</v>
      </c>
      <c r="F149" s="4" t="s">
        <v>332</v>
      </c>
      <c r="G149" s="4" t="s">
        <v>317</v>
      </c>
      <c r="H149" s="3" t="s">
        <v>179</v>
      </c>
      <c r="I149" s="4" t="s">
        <v>318</v>
      </c>
      <c r="J149" s="4" t="s">
        <v>319</v>
      </c>
      <c r="K149" s="3"/>
      <c r="L149" s="3"/>
      <c r="M149" s="3"/>
      <c r="N149" s="3"/>
    </row>
    <row r="150" customFormat="false" ht="64.5" hidden="false" customHeight="true" outlineLevel="0" collapsed="false">
      <c r="A150" s="3" t="s">
        <v>491</v>
      </c>
      <c r="B150" s="3" t="s">
        <v>190</v>
      </c>
      <c r="C150" s="4" t="s">
        <v>321</v>
      </c>
      <c r="D150" s="4" t="s">
        <v>334</v>
      </c>
      <c r="E150" s="4" t="s">
        <v>335</v>
      </c>
      <c r="F150" s="4" t="s">
        <v>336</v>
      </c>
      <c r="G150" s="4" t="s">
        <v>317</v>
      </c>
      <c r="H150" s="3" t="s">
        <v>179</v>
      </c>
      <c r="I150" s="4" t="s">
        <v>318</v>
      </c>
      <c r="J150" s="4" t="s">
        <v>319</v>
      </c>
      <c r="K150" s="3"/>
      <c r="L150" s="3"/>
      <c r="M150" s="3"/>
      <c r="N150" s="3"/>
    </row>
    <row r="151" customFormat="false" ht="64.5" hidden="false" customHeight="true" outlineLevel="0" collapsed="false">
      <c r="A151" s="3" t="s">
        <v>492</v>
      </c>
      <c r="B151" s="3" t="s">
        <v>190</v>
      </c>
      <c r="C151" s="4" t="s">
        <v>313</v>
      </c>
      <c r="D151" s="4" t="s">
        <v>338</v>
      </c>
      <c r="E151" s="4" t="s">
        <v>339</v>
      </c>
      <c r="F151" s="4" t="s">
        <v>340</v>
      </c>
      <c r="G151" s="4" t="s">
        <v>317</v>
      </c>
      <c r="H151" s="3" t="s">
        <v>179</v>
      </c>
      <c r="I151" s="4" t="s">
        <v>318</v>
      </c>
      <c r="J151" s="4" t="s">
        <v>319</v>
      </c>
      <c r="K151" s="3"/>
      <c r="L151" s="3"/>
      <c r="M151" s="3"/>
      <c r="N151" s="3"/>
    </row>
    <row r="152" customFormat="false" ht="64.5" hidden="false" customHeight="true" outlineLevel="0" collapsed="false">
      <c r="A152" s="3" t="s">
        <v>493</v>
      </c>
      <c r="B152" s="3" t="s">
        <v>190</v>
      </c>
      <c r="C152" s="4" t="s">
        <v>313</v>
      </c>
      <c r="D152" s="4" t="s">
        <v>342</v>
      </c>
      <c r="E152" s="4" t="s">
        <v>343</v>
      </c>
      <c r="F152" s="4" t="s">
        <v>344</v>
      </c>
      <c r="G152" s="4" t="s">
        <v>317</v>
      </c>
      <c r="H152" s="3" t="s">
        <v>179</v>
      </c>
      <c r="I152" s="4" t="s">
        <v>318</v>
      </c>
      <c r="J152" s="4" t="s">
        <v>319</v>
      </c>
      <c r="K152" s="3"/>
      <c r="L152" s="3"/>
      <c r="M152" s="3"/>
      <c r="N152" s="3"/>
    </row>
    <row r="153" customFormat="false" ht="64.5" hidden="false" customHeight="true" outlineLevel="0" collapsed="false">
      <c r="A153" s="3" t="s">
        <v>494</v>
      </c>
      <c r="B153" s="3" t="s">
        <v>190</v>
      </c>
      <c r="C153" s="4" t="s">
        <v>346</v>
      </c>
      <c r="D153" s="4" t="s">
        <v>347</v>
      </c>
      <c r="E153" s="4" t="s">
        <v>195</v>
      </c>
      <c r="F153" s="4" t="s">
        <v>349</v>
      </c>
      <c r="G153" s="4" t="s">
        <v>317</v>
      </c>
      <c r="H153" s="3" t="s">
        <v>179</v>
      </c>
      <c r="I153" s="4" t="s">
        <v>350</v>
      </c>
      <c r="J153" s="4" t="s">
        <v>319</v>
      </c>
      <c r="K153" s="3"/>
      <c r="L153" s="3"/>
      <c r="M153" s="3"/>
      <c r="N153" s="3"/>
    </row>
    <row r="154" customFormat="false" ht="64.5" hidden="false" customHeight="true" outlineLevel="0" collapsed="false">
      <c r="A154" s="3" t="s">
        <v>495</v>
      </c>
      <c r="B154" s="3" t="s">
        <v>196</v>
      </c>
      <c r="C154" s="4" t="s">
        <v>313</v>
      </c>
      <c r="D154" s="4" t="s">
        <v>314</v>
      </c>
      <c r="E154" s="4" t="s">
        <v>315</v>
      </c>
      <c r="F154" s="4" t="s">
        <v>316</v>
      </c>
      <c r="G154" s="4" t="s">
        <v>317</v>
      </c>
      <c r="H154" s="3" t="s">
        <v>179</v>
      </c>
      <c r="I154" s="4" t="s">
        <v>318</v>
      </c>
      <c r="J154" s="4" t="s">
        <v>319</v>
      </c>
      <c r="K154" s="3"/>
      <c r="L154" s="3"/>
      <c r="M154" s="3"/>
      <c r="N154" s="3"/>
    </row>
    <row r="155" customFormat="false" ht="64.5" hidden="false" customHeight="true" outlineLevel="0" collapsed="false">
      <c r="A155" s="3" t="s">
        <v>496</v>
      </c>
      <c r="B155" s="3" t="s">
        <v>196</v>
      </c>
      <c r="C155" s="4" t="s">
        <v>321</v>
      </c>
      <c r="D155" s="4" t="s">
        <v>322</v>
      </c>
      <c r="E155" s="4" t="s">
        <v>323</v>
      </c>
      <c r="F155" s="4" t="s">
        <v>324</v>
      </c>
      <c r="G155" s="4" t="s">
        <v>317</v>
      </c>
      <c r="H155" s="3" t="s">
        <v>179</v>
      </c>
      <c r="I155" s="4" t="s">
        <v>318</v>
      </c>
      <c r="J155" s="4" t="s">
        <v>319</v>
      </c>
      <c r="K155" s="3"/>
      <c r="L155" s="3"/>
      <c r="M155" s="3"/>
      <c r="N155" s="3"/>
    </row>
    <row r="156" customFormat="false" ht="64.5" hidden="false" customHeight="true" outlineLevel="0" collapsed="false">
      <c r="A156" s="3" t="s">
        <v>497</v>
      </c>
      <c r="B156" s="3" t="s">
        <v>196</v>
      </c>
      <c r="C156" s="4" t="s">
        <v>321</v>
      </c>
      <c r="D156" s="4" t="s">
        <v>326</v>
      </c>
      <c r="E156" s="4" t="s">
        <v>327</v>
      </c>
      <c r="F156" s="4" t="s">
        <v>328</v>
      </c>
      <c r="G156" s="4" t="s">
        <v>317</v>
      </c>
      <c r="H156" s="3" t="s">
        <v>179</v>
      </c>
      <c r="I156" s="4" t="s">
        <v>318</v>
      </c>
      <c r="J156" s="4" t="s">
        <v>319</v>
      </c>
      <c r="K156" s="3"/>
      <c r="L156" s="3"/>
      <c r="M156" s="3"/>
      <c r="N156" s="3"/>
    </row>
    <row r="157" customFormat="false" ht="64.5" hidden="false" customHeight="true" outlineLevel="0" collapsed="false">
      <c r="A157" s="3" t="s">
        <v>498</v>
      </c>
      <c r="B157" s="3" t="s">
        <v>196</v>
      </c>
      <c r="C157" s="4" t="s">
        <v>321</v>
      </c>
      <c r="D157" s="4" t="s">
        <v>330</v>
      </c>
      <c r="E157" s="4" t="s">
        <v>331</v>
      </c>
      <c r="F157" s="4" t="s">
        <v>332</v>
      </c>
      <c r="G157" s="4" t="s">
        <v>317</v>
      </c>
      <c r="H157" s="3" t="s">
        <v>179</v>
      </c>
      <c r="I157" s="4" t="s">
        <v>318</v>
      </c>
      <c r="J157" s="4" t="s">
        <v>319</v>
      </c>
      <c r="K157" s="3"/>
      <c r="L157" s="3"/>
      <c r="M157" s="3"/>
      <c r="N157" s="3"/>
    </row>
    <row r="158" customFormat="false" ht="64.5" hidden="false" customHeight="true" outlineLevel="0" collapsed="false">
      <c r="A158" s="3" t="s">
        <v>499</v>
      </c>
      <c r="B158" s="3" t="s">
        <v>196</v>
      </c>
      <c r="C158" s="4" t="s">
        <v>321</v>
      </c>
      <c r="D158" s="4" t="s">
        <v>334</v>
      </c>
      <c r="E158" s="4" t="s">
        <v>335</v>
      </c>
      <c r="F158" s="4" t="s">
        <v>336</v>
      </c>
      <c r="G158" s="4" t="s">
        <v>317</v>
      </c>
      <c r="H158" s="3" t="s">
        <v>179</v>
      </c>
      <c r="I158" s="4" t="s">
        <v>318</v>
      </c>
      <c r="J158" s="4" t="s">
        <v>319</v>
      </c>
      <c r="K158" s="3"/>
      <c r="L158" s="3"/>
      <c r="M158" s="3"/>
      <c r="N158" s="3"/>
    </row>
    <row r="159" customFormat="false" ht="64.5" hidden="false" customHeight="true" outlineLevel="0" collapsed="false">
      <c r="A159" s="3" t="s">
        <v>500</v>
      </c>
      <c r="B159" s="3" t="s">
        <v>196</v>
      </c>
      <c r="C159" s="4" t="s">
        <v>313</v>
      </c>
      <c r="D159" s="4" t="s">
        <v>338</v>
      </c>
      <c r="E159" s="4" t="s">
        <v>339</v>
      </c>
      <c r="F159" s="4" t="s">
        <v>340</v>
      </c>
      <c r="G159" s="4" t="s">
        <v>317</v>
      </c>
      <c r="H159" s="3" t="s">
        <v>179</v>
      </c>
      <c r="I159" s="4" t="s">
        <v>318</v>
      </c>
      <c r="J159" s="4" t="s">
        <v>319</v>
      </c>
      <c r="K159" s="3"/>
      <c r="L159" s="3"/>
      <c r="M159" s="3"/>
      <c r="N159" s="3"/>
    </row>
    <row r="160" customFormat="false" ht="64.5" hidden="false" customHeight="true" outlineLevel="0" collapsed="false">
      <c r="A160" s="3" t="s">
        <v>501</v>
      </c>
      <c r="B160" s="3" t="s">
        <v>196</v>
      </c>
      <c r="C160" s="4" t="s">
        <v>313</v>
      </c>
      <c r="D160" s="4" t="s">
        <v>342</v>
      </c>
      <c r="E160" s="4" t="s">
        <v>343</v>
      </c>
      <c r="F160" s="4" t="s">
        <v>344</v>
      </c>
      <c r="G160" s="4" t="s">
        <v>317</v>
      </c>
      <c r="H160" s="3" t="s">
        <v>179</v>
      </c>
      <c r="I160" s="4" t="s">
        <v>318</v>
      </c>
      <c r="J160" s="4" t="s">
        <v>319</v>
      </c>
      <c r="K160" s="3"/>
      <c r="L160" s="3"/>
      <c r="M160" s="3"/>
      <c r="N160" s="3"/>
    </row>
    <row r="161" customFormat="false" ht="64.5" hidden="false" customHeight="true" outlineLevel="0" collapsed="false">
      <c r="A161" s="3" t="s">
        <v>502</v>
      </c>
      <c r="B161" s="3" t="s">
        <v>196</v>
      </c>
      <c r="C161" s="4" t="s">
        <v>346</v>
      </c>
      <c r="D161" s="4" t="s">
        <v>347</v>
      </c>
      <c r="E161" s="4" t="s">
        <v>204</v>
      </c>
      <c r="F161" s="4" t="s">
        <v>349</v>
      </c>
      <c r="G161" s="4" t="s">
        <v>317</v>
      </c>
      <c r="H161" s="3" t="s">
        <v>179</v>
      </c>
      <c r="I161" s="4" t="s">
        <v>350</v>
      </c>
      <c r="J161" s="4" t="s">
        <v>319</v>
      </c>
      <c r="K161" s="3"/>
      <c r="L161" s="3"/>
      <c r="M161" s="3"/>
      <c r="N161" s="3"/>
    </row>
    <row r="162" customFormat="false" ht="64.5" hidden="false" customHeight="true" outlineLevel="0" collapsed="false">
      <c r="A162" s="3" t="s">
        <v>503</v>
      </c>
      <c r="B162" s="3" t="s">
        <v>205</v>
      </c>
      <c r="C162" s="4" t="s">
        <v>313</v>
      </c>
      <c r="D162" s="4" t="s">
        <v>314</v>
      </c>
      <c r="E162" s="4" t="s">
        <v>315</v>
      </c>
      <c r="F162" s="4" t="s">
        <v>316</v>
      </c>
      <c r="G162" s="4" t="s">
        <v>317</v>
      </c>
      <c r="H162" s="3" t="s">
        <v>179</v>
      </c>
      <c r="I162" s="4" t="s">
        <v>318</v>
      </c>
      <c r="J162" s="4" t="s">
        <v>319</v>
      </c>
      <c r="K162" s="3"/>
      <c r="L162" s="3"/>
      <c r="M162" s="3"/>
      <c r="N162" s="3"/>
    </row>
    <row r="163" customFormat="false" ht="64.5" hidden="false" customHeight="true" outlineLevel="0" collapsed="false">
      <c r="A163" s="3" t="s">
        <v>504</v>
      </c>
      <c r="B163" s="3" t="s">
        <v>205</v>
      </c>
      <c r="C163" s="4" t="s">
        <v>321</v>
      </c>
      <c r="D163" s="4" t="s">
        <v>322</v>
      </c>
      <c r="E163" s="4" t="s">
        <v>323</v>
      </c>
      <c r="F163" s="4" t="s">
        <v>324</v>
      </c>
      <c r="G163" s="4" t="s">
        <v>317</v>
      </c>
      <c r="H163" s="3" t="s">
        <v>179</v>
      </c>
      <c r="I163" s="4" t="s">
        <v>318</v>
      </c>
      <c r="J163" s="4" t="s">
        <v>319</v>
      </c>
      <c r="K163" s="3"/>
      <c r="L163" s="3"/>
      <c r="M163" s="3"/>
      <c r="N163" s="3"/>
    </row>
    <row r="164" customFormat="false" ht="64.5" hidden="false" customHeight="true" outlineLevel="0" collapsed="false">
      <c r="A164" s="3" t="s">
        <v>505</v>
      </c>
      <c r="B164" s="3" t="s">
        <v>205</v>
      </c>
      <c r="C164" s="4" t="s">
        <v>321</v>
      </c>
      <c r="D164" s="4" t="s">
        <v>326</v>
      </c>
      <c r="E164" s="4" t="s">
        <v>327</v>
      </c>
      <c r="F164" s="4" t="s">
        <v>328</v>
      </c>
      <c r="G164" s="4" t="s">
        <v>317</v>
      </c>
      <c r="H164" s="3" t="s">
        <v>179</v>
      </c>
      <c r="I164" s="4" t="s">
        <v>318</v>
      </c>
      <c r="J164" s="4" t="s">
        <v>319</v>
      </c>
      <c r="K164" s="3"/>
      <c r="L164" s="3"/>
      <c r="M164" s="3"/>
      <c r="N164" s="3"/>
    </row>
    <row r="165" customFormat="false" ht="64.5" hidden="false" customHeight="true" outlineLevel="0" collapsed="false">
      <c r="A165" s="3" t="s">
        <v>506</v>
      </c>
      <c r="B165" s="3" t="s">
        <v>205</v>
      </c>
      <c r="C165" s="4" t="s">
        <v>321</v>
      </c>
      <c r="D165" s="4" t="s">
        <v>330</v>
      </c>
      <c r="E165" s="4" t="s">
        <v>331</v>
      </c>
      <c r="F165" s="4" t="s">
        <v>332</v>
      </c>
      <c r="G165" s="4" t="s">
        <v>317</v>
      </c>
      <c r="H165" s="3" t="s">
        <v>179</v>
      </c>
      <c r="I165" s="4" t="s">
        <v>318</v>
      </c>
      <c r="J165" s="4" t="s">
        <v>319</v>
      </c>
      <c r="K165" s="3"/>
      <c r="L165" s="3"/>
      <c r="M165" s="3"/>
      <c r="N165" s="3"/>
    </row>
    <row r="166" customFormat="false" ht="64.5" hidden="false" customHeight="true" outlineLevel="0" collapsed="false">
      <c r="A166" s="3" t="s">
        <v>507</v>
      </c>
      <c r="B166" s="3" t="s">
        <v>205</v>
      </c>
      <c r="C166" s="4" t="s">
        <v>321</v>
      </c>
      <c r="D166" s="4" t="s">
        <v>334</v>
      </c>
      <c r="E166" s="4" t="s">
        <v>335</v>
      </c>
      <c r="F166" s="4" t="s">
        <v>336</v>
      </c>
      <c r="G166" s="4" t="s">
        <v>317</v>
      </c>
      <c r="H166" s="3" t="s">
        <v>179</v>
      </c>
      <c r="I166" s="4" t="s">
        <v>318</v>
      </c>
      <c r="J166" s="4" t="s">
        <v>319</v>
      </c>
      <c r="K166" s="3"/>
      <c r="L166" s="3"/>
      <c r="M166" s="3"/>
      <c r="N166" s="3"/>
    </row>
    <row r="167" customFormat="false" ht="64.5" hidden="false" customHeight="true" outlineLevel="0" collapsed="false">
      <c r="A167" s="3" t="s">
        <v>508</v>
      </c>
      <c r="B167" s="3" t="s">
        <v>205</v>
      </c>
      <c r="C167" s="4" t="s">
        <v>313</v>
      </c>
      <c r="D167" s="4" t="s">
        <v>338</v>
      </c>
      <c r="E167" s="4" t="s">
        <v>339</v>
      </c>
      <c r="F167" s="4" t="s">
        <v>340</v>
      </c>
      <c r="G167" s="4" t="s">
        <v>317</v>
      </c>
      <c r="H167" s="3" t="s">
        <v>179</v>
      </c>
      <c r="I167" s="4" t="s">
        <v>318</v>
      </c>
      <c r="J167" s="4" t="s">
        <v>319</v>
      </c>
      <c r="K167" s="3"/>
      <c r="L167" s="3"/>
      <c r="M167" s="3"/>
      <c r="N167" s="3"/>
    </row>
    <row r="168" customFormat="false" ht="64.5" hidden="false" customHeight="true" outlineLevel="0" collapsed="false">
      <c r="A168" s="3" t="s">
        <v>509</v>
      </c>
      <c r="B168" s="3" t="s">
        <v>205</v>
      </c>
      <c r="C168" s="4" t="s">
        <v>313</v>
      </c>
      <c r="D168" s="4" t="s">
        <v>342</v>
      </c>
      <c r="E168" s="4" t="s">
        <v>343</v>
      </c>
      <c r="F168" s="4" t="s">
        <v>344</v>
      </c>
      <c r="G168" s="4" t="s">
        <v>317</v>
      </c>
      <c r="H168" s="3" t="s">
        <v>179</v>
      </c>
      <c r="I168" s="4" t="s">
        <v>318</v>
      </c>
      <c r="J168" s="4" t="s">
        <v>319</v>
      </c>
      <c r="K168" s="3"/>
      <c r="L168" s="3"/>
      <c r="M168" s="3"/>
      <c r="N168" s="3"/>
    </row>
    <row r="169" customFormat="false" ht="64.5" hidden="false" customHeight="true" outlineLevel="0" collapsed="false">
      <c r="A169" s="3" t="s">
        <v>510</v>
      </c>
      <c r="B169" s="3" t="s">
        <v>205</v>
      </c>
      <c r="C169" s="4" t="s">
        <v>346</v>
      </c>
      <c r="D169" s="4" t="s">
        <v>347</v>
      </c>
      <c r="E169" s="4" t="s">
        <v>212</v>
      </c>
      <c r="F169" s="4" t="s">
        <v>349</v>
      </c>
      <c r="G169" s="4" t="s">
        <v>317</v>
      </c>
      <c r="H169" s="3" t="s">
        <v>179</v>
      </c>
      <c r="I169" s="4" t="s">
        <v>350</v>
      </c>
      <c r="J169" s="4" t="s">
        <v>319</v>
      </c>
      <c r="K169" s="3"/>
      <c r="L169" s="3"/>
      <c r="M169" s="3"/>
      <c r="N169" s="3"/>
    </row>
    <row r="170" customFormat="false" ht="64.5" hidden="false" customHeight="true" outlineLevel="0" collapsed="false">
      <c r="A170" s="3" t="s">
        <v>511</v>
      </c>
      <c r="B170" s="3" t="s">
        <v>213</v>
      </c>
      <c r="C170" s="4" t="s">
        <v>313</v>
      </c>
      <c r="D170" s="4" t="s">
        <v>314</v>
      </c>
      <c r="E170" s="4" t="s">
        <v>315</v>
      </c>
      <c r="F170" s="4" t="s">
        <v>316</v>
      </c>
      <c r="G170" s="4" t="s">
        <v>317</v>
      </c>
      <c r="H170" s="3" t="s">
        <v>179</v>
      </c>
      <c r="I170" s="4" t="s">
        <v>318</v>
      </c>
      <c r="J170" s="4" t="s">
        <v>319</v>
      </c>
      <c r="K170" s="3"/>
      <c r="L170" s="3"/>
      <c r="M170" s="3"/>
      <c r="N170" s="3"/>
    </row>
    <row r="171" customFormat="false" ht="64.5" hidden="false" customHeight="true" outlineLevel="0" collapsed="false">
      <c r="A171" s="3" t="s">
        <v>512</v>
      </c>
      <c r="B171" s="3" t="s">
        <v>213</v>
      </c>
      <c r="C171" s="4" t="s">
        <v>321</v>
      </c>
      <c r="D171" s="4" t="s">
        <v>322</v>
      </c>
      <c r="E171" s="4" t="s">
        <v>323</v>
      </c>
      <c r="F171" s="4" t="s">
        <v>324</v>
      </c>
      <c r="G171" s="4" t="s">
        <v>317</v>
      </c>
      <c r="H171" s="3" t="s">
        <v>179</v>
      </c>
      <c r="I171" s="4" t="s">
        <v>318</v>
      </c>
      <c r="J171" s="4" t="s">
        <v>319</v>
      </c>
      <c r="K171" s="3"/>
      <c r="L171" s="3"/>
      <c r="M171" s="3"/>
      <c r="N171" s="3"/>
    </row>
    <row r="172" customFormat="false" ht="64.5" hidden="false" customHeight="true" outlineLevel="0" collapsed="false">
      <c r="A172" s="3" t="s">
        <v>513</v>
      </c>
      <c r="B172" s="3" t="s">
        <v>213</v>
      </c>
      <c r="C172" s="4" t="s">
        <v>321</v>
      </c>
      <c r="D172" s="4" t="s">
        <v>326</v>
      </c>
      <c r="E172" s="4" t="s">
        <v>327</v>
      </c>
      <c r="F172" s="4" t="s">
        <v>328</v>
      </c>
      <c r="G172" s="4" t="s">
        <v>317</v>
      </c>
      <c r="H172" s="3" t="s">
        <v>179</v>
      </c>
      <c r="I172" s="4" t="s">
        <v>318</v>
      </c>
      <c r="J172" s="4" t="s">
        <v>319</v>
      </c>
      <c r="K172" s="3"/>
      <c r="L172" s="3"/>
      <c r="M172" s="3"/>
      <c r="N172" s="3"/>
    </row>
    <row r="173" customFormat="false" ht="64.5" hidden="false" customHeight="true" outlineLevel="0" collapsed="false">
      <c r="A173" s="3" t="s">
        <v>514</v>
      </c>
      <c r="B173" s="3" t="s">
        <v>213</v>
      </c>
      <c r="C173" s="4" t="s">
        <v>321</v>
      </c>
      <c r="D173" s="4" t="s">
        <v>330</v>
      </c>
      <c r="E173" s="4" t="s">
        <v>331</v>
      </c>
      <c r="F173" s="4" t="s">
        <v>332</v>
      </c>
      <c r="G173" s="4" t="s">
        <v>317</v>
      </c>
      <c r="H173" s="3" t="s">
        <v>179</v>
      </c>
      <c r="I173" s="4" t="s">
        <v>318</v>
      </c>
      <c r="J173" s="4" t="s">
        <v>319</v>
      </c>
      <c r="K173" s="3"/>
      <c r="L173" s="3"/>
      <c r="M173" s="3"/>
      <c r="N173" s="3"/>
    </row>
    <row r="174" customFormat="false" ht="64.5" hidden="false" customHeight="true" outlineLevel="0" collapsed="false">
      <c r="A174" s="3" t="s">
        <v>515</v>
      </c>
      <c r="B174" s="3" t="s">
        <v>213</v>
      </c>
      <c r="C174" s="4" t="s">
        <v>321</v>
      </c>
      <c r="D174" s="4" t="s">
        <v>334</v>
      </c>
      <c r="E174" s="4" t="s">
        <v>335</v>
      </c>
      <c r="F174" s="4" t="s">
        <v>336</v>
      </c>
      <c r="G174" s="4" t="s">
        <v>317</v>
      </c>
      <c r="H174" s="3" t="s">
        <v>179</v>
      </c>
      <c r="I174" s="4" t="s">
        <v>318</v>
      </c>
      <c r="J174" s="4" t="s">
        <v>319</v>
      </c>
      <c r="K174" s="3"/>
      <c r="L174" s="3"/>
      <c r="M174" s="3"/>
      <c r="N174" s="3"/>
    </row>
    <row r="175" customFormat="false" ht="64.5" hidden="false" customHeight="true" outlineLevel="0" collapsed="false">
      <c r="A175" s="3" t="s">
        <v>516</v>
      </c>
      <c r="B175" s="3" t="s">
        <v>213</v>
      </c>
      <c r="C175" s="4" t="s">
        <v>313</v>
      </c>
      <c r="D175" s="4" t="s">
        <v>338</v>
      </c>
      <c r="E175" s="4" t="s">
        <v>339</v>
      </c>
      <c r="F175" s="4" t="s">
        <v>340</v>
      </c>
      <c r="G175" s="4" t="s">
        <v>317</v>
      </c>
      <c r="H175" s="3" t="s">
        <v>179</v>
      </c>
      <c r="I175" s="4" t="s">
        <v>318</v>
      </c>
      <c r="J175" s="4" t="s">
        <v>319</v>
      </c>
      <c r="K175" s="3"/>
      <c r="L175" s="3"/>
      <c r="M175" s="3"/>
      <c r="N175" s="3"/>
    </row>
    <row r="176" customFormat="false" ht="64.5" hidden="false" customHeight="true" outlineLevel="0" collapsed="false">
      <c r="A176" s="3" t="s">
        <v>517</v>
      </c>
      <c r="B176" s="3" t="s">
        <v>213</v>
      </c>
      <c r="C176" s="4" t="s">
        <v>313</v>
      </c>
      <c r="D176" s="4" t="s">
        <v>342</v>
      </c>
      <c r="E176" s="4" t="s">
        <v>343</v>
      </c>
      <c r="F176" s="4" t="s">
        <v>344</v>
      </c>
      <c r="G176" s="4" t="s">
        <v>317</v>
      </c>
      <c r="H176" s="3" t="s">
        <v>179</v>
      </c>
      <c r="I176" s="4" t="s">
        <v>318</v>
      </c>
      <c r="J176" s="4" t="s">
        <v>319</v>
      </c>
      <c r="K176" s="3"/>
      <c r="L176" s="3"/>
      <c r="M176" s="3"/>
      <c r="N176" s="3"/>
    </row>
    <row r="177" customFormat="false" ht="64.5" hidden="false" customHeight="true" outlineLevel="0" collapsed="false">
      <c r="A177" s="3" t="s">
        <v>518</v>
      </c>
      <c r="B177" s="3" t="s">
        <v>213</v>
      </c>
      <c r="C177" s="4" t="s">
        <v>346</v>
      </c>
      <c r="D177" s="4" t="s">
        <v>347</v>
      </c>
      <c r="E177" s="4" t="s">
        <v>220</v>
      </c>
      <c r="F177" s="4" t="s">
        <v>349</v>
      </c>
      <c r="G177" s="4" t="s">
        <v>317</v>
      </c>
      <c r="H177" s="3" t="s">
        <v>179</v>
      </c>
      <c r="I177" s="4" t="s">
        <v>350</v>
      </c>
      <c r="J177" s="4" t="s">
        <v>319</v>
      </c>
      <c r="K177" s="3"/>
      <c r="L177" s="3"/>
      <c r="M177" s="3"/>
      <c r="N177" s="3"/>
    </row>
    <row r="178" customFormat="false" ht="64.5" hidden="false" customHeight="true" outlineLevel="0" collapsed="false">
      <c r="A178" s="3" t="s">
        <v>519</v>
      </c>
      <c r="B178" s="3" t="s">
        <v>221</v>
      </c>
      <c r="C178" s="4" t="s">
        <v>313</v>
      </c>
      <c r="D178" s="4" t="s">
        <v>314</v>
      </c>
      <c r="E178" s="4" t="s">
        <v>315</v>
      </c>
      <c r="F178" s="4" t="s">
        <v>316</v>
      </c>
      <c r="G178" s="4" t="s">
        <v>317</v>
      </c>
      <c r="H178" s="3" t="s">
        <v>227</v>
      </c>
      <c r="I178" s="4" t="s">
        <v>318</v>
      </c>
      <c r="J178" s="4" t="s">
        <v>319</v>
      </c>
      <c r="K178" s="3"/>
      <c r="L178" s="3"/>
      <c r="M178" s="3"/>
      <c r="N178" s="3"/>
    </row>
    <row r="179" customFormat="false" ht="64.5" hidden="false" customHeight="true" outlineLevel="0" collapsed="false">
      <c r="A179" s="3" t="s">
        <v>520</v>
      </c>
      <c r="B179" s="3" t="s">
        <v>221</v>
      </c>
      <c r="C179" s="4" t="s">
        <v>321</v>
      </c>
      <c r="D179" s="4" t="s">
        <v>322</v>
      </c>
      <c r="E179" s="4" t="s">
        <v>323</v>
      </c>
      <c r="F179" s="4" t="s">
        <v>324</v>
      </c>
      <c r="G179" s="4" t="s">
        <v>317</v>
      </c>
      <c r="H179" s="3" t="s">
        <v>227</v>
      </c>
      <c r="I179" s="4" t="s">
        <v>318</v>
      </c>
      <c r="J179" s="4" t="s">
        <v>319</v>
      </c>
      <c r="K179" s="3"/>
      <c r="L179" s="3"/>
      <c r="M179" s="3"/>
      <c r="N179" s="3"/>
    </row>
    <row r="180" customFormat="false" ht="64.5" hidden="false" customHeight="true" outlineLevel="0" collapsed="false">
      <c r="A180" s="3" t="s">
        <v>521</v>
      </c>
      <c r="B180" s="3" t="s">
        <v>221</v>
      </c>
      <c r="C180" s="4" t="s">
        <v>321</v>
      </c>
      <c r="D180" s="4" t="s">
        <v>326</v>
      </c>
      <c r="E180" s="4" t="s">
        <v>327</v>
      </c>
      <c r="F180" s="4" t="s">
        <v>328</v>
      </c>
      <c r="G180" s="4" t="s">
        <v>317</v>
      </c>
      <c r="H180" s="3" t="s">
        <v>227</v>
      </c>
      <c r="I180" s="4" t="s">
        <v>318</v>
      </c>
      <c r="J180" s="4" t="s">
        <v>319</v>
      </c>
      <c r="K180" s="3"/>
      <c r="L180" s="3"/>
      <c r="M180" s="3"/>
      <c r="N180" s="3"/>
    </row>
    <row r="181" customFormat="false" ht="64.5" hidden="false" customHeight="true" outlineLevel="0" collapsed="false">
      <c r="A181" s="3" t="s">
        <v>522</v>
      </c>
      <c r="B181" s="3" t="s">
        <v>221</v>
      </c>
      <c r="C181" s="4" t="s">
        <v>321</v>
      </c>
      <c r="D181" s="4" t="s">
        <v>330</v>
      </c>
      <c r="E181" s="4" t="s">
        <v>331</v>
      </c>
      <c r="F181" s="4" t="s">
        <v>332</v>
      </c>
      <c r="G181" s="4" t="s">
        <v>317</v>
      </c>
      <c r="H181" s="3" t="s">
        <v>227</v>
      </c>
      <c r="I181" s="4" t="s">
        <v>318</v>
      </c>
      <c r="J181" s="4" t="s">
        <v>319</v>
      </c>
      <c r="K181" s="3"/>
      <c r="L181" s="3"/>
      <c r="M181" s="3"/>
      <c r="N181" s="3"/>
    </row>
    <row r="182" customFormat="false" ht="64.5" hidden="false" customHeight="true" outlineLevel="0" collapsed="false">
      <c r="A182" s="3" t="s">
        <v>523</v>
      </c>
      <c r="B182" s="3" t="s">
        <v>221</v>
      </c>
      <c r="C182" s="4" t="s">
        <v>321</v>
      </c>
      <c r="D182" s="4" t="s">
        <v>334</v>
      </c>
      <c r="E182" s="4" t="s">
        <v>335</v>
      </c>
      <c r="F182" s="4" t="s">
        <v>336</v>
      </c>
      <c r="G182" s="4" t="s">
        <v>317</v>
      </c>
      <c r="H182" s="3" t="s">
        <v>227</v>
      </c>
      <c r="I182" s="4" t="s">
        <v>318</v>
      </c>
      <c r="J182" s="4" t="s">
        <v>319</v>
      </c>
      <c r="K182" s="3"/>
      <c r="L182" s="3"/>
      <c r="M182" s="3"/>
      <c r="N182" s="3"/>
    </row>
    <row r="183" customFormat="false" ht="64.5" hidden="false" customHeight="true" outlineLevel="0" collapsed="false">
      <c r="A183" s="3" t="s">
        <v>524</v>
      </c>
      <c r="B183" s="3" t="s">
        <v>221</v>
      </c>
      <c r="C183" s="4" t="s">
        <v>313</v>
      </c>
      <c r="D183" s="4" t="s">
        <v>338</v>
      </c>
      <c r="E183" s="4" t="s">
        <v>339</v>
      </c>
      <c r="F183" s="4" t="s">
        <v>340</v>
      </c>
      <c r="G183" s="4" t="s">
        <v>317</v>
      </c>
      <c r="H183" s="3" t="s">
        <v>227</v>
      </c>
      <c r="I183" s="4" t="s">
        <v>318</v>
      </c>
      <c r="J183" s="4" t="s">
        <v>319</v>
      </c>
      <c r="K183" s="3"/>
      <c r="L183" s="3"/>
      <c r="M183" s="3"/>
      <c r="N183" s="3"/>
    </row>
    <row r="184" customFormat="false" ht="64.5" hidden="false" customHeight="true" outlineLevel="0" collapsed="false">
      <c r="A184" s="3" t="s">
        <v>525</v>
      </c>
      <c r="B184" s="3" t="s">
        <v>221</v>
      </c>
      <c r="C184" s="4" t="s">
        <v>313</v>
      </c>
      <c r="D184" s="4" t="s">
        <v>342</v>
      </c>
      <c r="E184" s="4" t="s">
        <v>343</v>
      </c>
      <c r="F184" s="4" t="s">
        <v>344</v>
      </c>
      <c r="G184" s="4" t="s">
        <v>317</v>
      </c>
      <c r="H184" s="3" t="s">
        <v>227</v>
      </c>
      <c r="I184" s="4" t="s">
        <v>318</v>
      </c>
      <c r="J184" s="4" t="s">
        <v>319</v>
      </c>
      <c r="K184" s="3"/>
      <c r="L184" s="3"/>
      <c r="M184" s="3"/>
      <c r="N184" s="3"/>
    </row>
    <row r="185" customFormat="false" ht="64.5" hidden="false" customHeight="true" outlineLevel="0" collapsed="false">
      <c r="A185" s="3" t="s">
        <v>526</v>
      </c>
      <c r="B185" s="3" t="s">
        <v>221</v>
      </c>
      <c r="C185" s="4" t="s">
        <v>346</v>
      </c>
      <c r="D185" s="4" t="s">
        <v>347</v>
      </c>
      <c r="E185" s="4" t="s">
        <v>229</v>
      </c>
      <c r="F185" s="4" t="s">
        <v>349</v>
      </c>
      <c r="G185" s="4" t="s">
        <v>317</v>
      </c>
      <c r="H185" s="3" t="s">
        <v>227</v>
      </c>
      <c r="I185" s="4" t="s">
        <v>350</v>
      </c>
      <c r="J185" s="4" t="s">
        <v>319</v>
      </c>
      <c r="K185" s="3"/>
      <c r="L185" s="3"/>
      <c r="M185" s="3"/>
      <c r="N185" s="3"/>
    </row>
    <row r="186" customFormat="false" ht="64.5" hidden="false" customHeight="true" outlineLevel="0" collapsed="false">
      <c r="A186" s="3" t="s">
        <v>527</v>
      </c>
      <c r="B186" s="3" t="s">
        <v>10</v>
      </c>
      <c r="C186" s="4" t="s">
        <v>528</v>
      </c>
      <c r="D186" s="4" t="s">
        <v>529</v>
      </c>
      <c r="E186" s="3" t="s">
        <v>530</v>
      </c>
      <c r="F186" s="4" t="s">
        <v>531</v>
      </c>
      <c r="G186" s="4" t="s">
        <v>532</v>
      </c>
      <c r="H186" s="3" t="s">
        <v>533</v>
      </c>
      <c r="I186" s="4" t="s">
        <v>534</v>
      </c>
      <c r="J186" s="4" t="s">
        <v>319</v>
      </c>
      <c r="K186" s="3"/>
      <c r="L186" s="3"/>
      <c r="M186" s="3"/>
      <c r="N186" s="3"/>
    </row>
  </sheetData>
  <autoFilter ref="A1:N186"/>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2026-10-13T18:14:44Z</dcterms:created>
  <dc:creator>openpyxl</dc:creator>
  <dc:description/>
  <dc:language>en-US</dc:language>
  <cp:lastModifiedBy/>
  <dcterms:modified xsi:type="dcterms:W3CDTF">2026-10-13T18:14:44Z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
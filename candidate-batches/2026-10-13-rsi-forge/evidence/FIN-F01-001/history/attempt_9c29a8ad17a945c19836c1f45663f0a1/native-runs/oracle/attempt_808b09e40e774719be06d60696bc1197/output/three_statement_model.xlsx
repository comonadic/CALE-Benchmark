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历史数据" sheetId="1" state="visible" r:id="rId2"/>
    <sheet name="情景假设" sheetId="2" state="visible" r:id="rId3"/>
    <sheet name="营运资本" sheetId="3" state="visible" r:id="rId4"/>
    <sheet name="固定资产与债务" sheetId="4" state="visible" r:id="rId5"/>
    <sheet name="利润表" sheetId="5" state="visible" r:id="rId6"/>
    <sheet name="现金流量表" sheetId="6" state="visible" r:id="rId7"/>
    <sheet name="资产负债表" sheetId="7" state="visible" r:id="rId8"/>
    <sheet name="检查" sheetId="8" state="visible" r:id="rId9"/>
    <sheet name="说明" sheetId="9" state="visible" r:id="rId10"/>
  </sheets>
  <definedNames>
    <definedName function="false" hidden="true" localSheetId="4" name="_xlnm._FilterDatabase" vbProcedure="false">利润表!$A$1:$B$7</definedName>
    <definedName function="false" hidden="true" localSheetId="0" name="_xlnm._FilterDatabase" vbProcedure="false">历史数据!$A$1:$F$39</definedName>
    <definedName function="false" hidden="true" localSheetId="3" name="_xlnm._FilterDatabase" vbProcedure="false">固定资产与债务!$A$1:$E$5</definedName>
    <definedName function="false" hidden="true" localSheetId="1" name="_xlnm._FilterDatabase" vbProcedure="false">情景假设!$A$1:$C$12</definedName>
    <definedName function="false" hidden="true" localSheetId="7" name="_xlnm._FilterDatabase" vbProcedure="false">检查!$A$1:$C$9</definedName>
    <definedName function="false" hidden="true" localSheetId="5" name="_xlnm._FilterDatabase" vbProcedure="false">现金流量表!$A$1:$B$11</definedName>
    <definedName function="false" hidden="true" localSheetId="2" name="_xlnm._FilterDatabase" vbProcedure="false">营运资本!$A$1:$E$4</definedName>
    <definedName function="false" hidden="true" localSheetId="8" name="_xlnm._FilterDatabase" vbProcedure="false">说明!$A$1:$B$6</definedName>
    <definedName function="false" hidden="true" localSheetId="6" name="_xlnm._FilterDatabase" vbProcedure="false">资产负债表!$A$1:$B$13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<sst xmlns="http://schemas.openxmlformats.org/spreadsheetml/2006/main" count="309" uniqueCount="178">
  <si>
    <t xml:space="preserve">指标</t>
  </si>
  <si>
    <t xml:space="preserve">披露项目</t>
  </si>
  <si>
    <t xml:space="preserve">期间</t>
  </si>
  <si>
    <t xml:space="preserve">金额（人民币元）</t>
  </si>
  <si>
    <t xml:space="preserve">主体与范围</t>
  </si>
  <si>
    <t xml:space="preserve">来源及PDF页码</t>
  </si>
  <si>
    <t xml:space="preserve">2025 revenue</t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</si>
  <si>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年度营业总收入</t>
    </r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</si>
  <si>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年度</t>
    </r>
  </si>
  <si>
    <t xml:space="preserve">广东海大集团股份有限公司；合并口径</t>
  </si>
  <si>
    <t xml:space="preserve">2025 annual report p.97</t>
  </si>
  <si>
    <t xml:space="preserve">2024 revenue</t>
  </si>
  <si>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CJK SC"/>
        <family val="2"/>
      </rPr>
      <t xml:space="preserve">年度营业总收入</t>
    </r>
  </si>
  <si>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CJK SC"/>
        <family val="2"/>
      </rPr>
      <t xml:space="preserve">年度比较</t>
    </r>
  </si>
  <si>
    <t xml:space="preserve">2025 cost</t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</si>
  <si>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年度营业成本</t>
    </r>
  </si>
  <si>
    <t xml:space="preserve">2025 net income</t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</si>
  <si>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年度净利润</t>
    </r>
  </si>
  <si>
    <t xml:space="preserve">2025 annual report p.98</t>
  </si>
  <si>
    <t xml:space="preserve">2025 operating cash flow</t>
  </si>
  <si>
    <t xml:space="preserve">经营活动产生的现金流量净额</t>
  </si>
  <si>
    <t xml:space="preserve">2025 annual report p.100</t>
  </si>
  <si>
    <t xml:space="preserve">2025 investing cash flow</t>
  </si>
  <si>
    <t xml:space="preserve">投资活动产生的现金流量净额</t>
  </si>
  <si>
    <t xml:space="preserve">2025 annual report p.101</t>
  </si>
  <si>
    <t xml:space="preserve">2025 financing cash flow</t>
  </si>
  <si>
    <t xml:space="preserve">筹资活动产生的现金流量净额</t>
  </si>
  <si>
    <t xml:space="preserve">2025 cash</t>
  </si>
  <si>
    <t xml:space="preserve">货币资金及现金等价物</t>
  </si>
  <si>
    <t xml:space="preserve">2025-12-31</t>
  </si>
  <si>
    <t xml:space="preserve">2025 annual report p.92-93</t>
  </si>
  <si>
    <t xml:space="preserve">2025 receivables</t>
  </si>
  <si>
    <t xml:space="preserve">应收账款</t>
  </si>
  <si>
    <t xml:space="preserve">2025 annual report p.92</t>
  </si>
  <si>
    <t xml:space="preserve">2025 inventory</t>
  </si>
  <si>
    <t xml:space="preserve">存货</t>
  </si>
  <si>
    <t xml:space="preserve">2025 payables</t>
  </si>
  <si>
    <t xml:space="preserve">应付账款</t>
  </si>
  <si>
    <t xml:space="preserve">2025 annual report p.94</t>
  </si>
  <si>
    <t xml:space="preserve">2025 fixed assets</t>
  </si>
  <si>
    <t xml:space="preserve">固定资产</t>
  </si>
  <si>
    <t xml:space="preserve">2025 annual report p.93</t>
  </si>
  <si>
    <t xml:space="preserve">2025 CIP</t>
  </si>
  <si>
    <t xml:space="preserve">在建工程</t>
  </si>
  <si>
    <t xml:space="preserve">2025 short debt</t>
  </si>
  <si>
    <t xml:space="preserve">短期借款</t>
  </si>
  <si>
    <t xml:space="preserve">2025 long debt</t>
  </si>
  <si>
    <t xml:space="preserve">长期借款</t>
  </si>
  <si>
    <t xml:space="preserve">2025 annual report p.95</t>
  </si>
  <si>
    <t xml:space="preserve">2025 total assets</t>
  </si>
  <si>
    <t xml:space="preserve">资产总计</t>
  </si>
  <si>
    <t xml:space="preserve">2025 total liabilities</t>
  </si>
  <si>
    <t xml:space="preserve">负债合计</t>
  </si>
  <si>
    <t xml:space="preserve">2025 total equity</t>
  </si>
  <si>
    <t xml:space="preserve">所有者权益合计</t>
  </si>
  <si>
    <t xml:space="preserve">2026H1 revenue</t>
  </si>
  <si>
    <t xml:space="preserve">营业总收入</t>
  </si>
  <si>
    <t xml:space="preserve">2026H1</t>
  </si>
  <si>
    <t xml:space="preserve">2026 half-year report p.61</t>
  </si>
  <si>
    <t xml:space="preserve">2025H1 revenue</t>
  </si>
  <si>
    <r>
      <rPr>
        <sz val="11"/>
        <color rgb="FF000000"/>
        <rFont val="Calibri"/>
        <family val="2"/>
        <charset val="1"/>
      </rPr>
      <t xml:space="preserve">2025H1</t>
    </r>
    <r>
      <rPr>
        <sz val="11"/>
        <color rgb="FF000000"/>
        <rFont val="Noto Sans CJK SC"/>
        <family val="2"/>
      </rPr>
      <t xml:space="preserve">比较</t>
    </r>
  </si>
  <si>
    <t xml:space="preserve">2026H1 cost</t>
  </si>
  <si>
    <t xml:space="preserve">营业成本</t>
  </si>
  <si>
    <t xml:space="preserve">2026H1 net income</t>
  </si>
  <si>
    <t xml:space="preserve">净利润</t>
  </si>
  <si>
    <t xml:space="preserve">2026 half-year report p.62</t>
  </si>
  <si>
    <t xml:space="preserve">2026H1 operating cash flow</t>
  </si>
  <si>
    <t xml:space="preserve">2026 half-year report p.64</t>
  </si>
  <si>
    <t xml:space="preserve">2026H1 investing cash flow</t>
  </si>
  <si>
    <t xml:space="preserve">2026 half-year report p.65</t>
  </si>
  <si>
    <t xml:space="preserve">2026H1 financing cash flow</t>
  </si>
  <si>
    <t xml:space="preserve">2026H1 cash movement</t>
  </si>
  <si>
    <t xml:space="preserve">现金及现金等价物净增加额</t>
  </si>
  <si>
    <t xml:space="preserve">2026H1 cash opening</t>
  </si>
  <si>
    <t xml:space="preserve">期初现金及现金等价物余额</t>
  </si>
  <si>
    <t xml:space="preserve">2026-01-01</t>
  </si>
  <si>
    <t xml:space="preserve">2026H1 cash ending</t>
  </si>
  <si>
    <t xml:space="preserve">期末现金及现金等价物余额</t>
  </si>
  <si>
    <t xml:space="preserve">2026-06-30</t>
  </si>
  <si>
    <t xml:space="preserve">2026H1 AR</t>
  </si>
  <si>
    <t xml:space="preserve">2026 half-year report p.56</t>
  </si>
  <si>
    <t xml:space="preserve">2026H1 inventory</t>
  </si>
  <si>
    <t xml:space="preserve">2026H1 AP</t>
  </si>
  <si>
    <t xml:space="preserve">2026 half-year report p.57</t>
  </si>
  <si>
    <t xml:space="preserve">2026H1 fixed assets</t>
  </si>
  <si>
    <t xml:space="preserve">2026H1 CIP</t>
  </si>
  <si>
    <t xml:space="preserve">2026H1 short debt</t>
  </si>
  <si>
    <t xml:space="preserve">2026H1 long debt</t>
  </si>
  <si>
    <t xml:space="preserve">2026H1 total assets</t>
  </si>
  <si>
    <t xml:space="preserve">2026H1 total liabilities</t>
  </si>
  <si>
    <t xml:space="preserve">2026H1 total equity</t>
  </si>
  <si>
    <t xml:space="preserve">参数</t>
  </si>
  <si>
    <t xml:space="preserve">数值</t>
  </si>
  <si>
    <t xml:space="preserve">单位/依据與性质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</si>
  <si>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收入增速</t>
    </r>
  </si>
  <si>
    <t xml:space="preserve">百分比；分析者情景，可编辑；非公司预算/指引</t>
  </si>
  <si>
    <t xml:space="preserve">营业成本率</t>
  </si>
  <si>
    <r>
      <rPr>
        <sz val="11"/>
        <color rgb="FF000000"/>
        <rFont val="Calibri"/>
        <family val="2"/>
        <charset val="1"/>
      </rPr>
      <t xml:space="preserve">H1</t>
    </r>
    <r>
      <rPr>
        <sz val="11"/>
        <color rgb="FF000000"/>
        <rFont val="Noto Sans CJK SC"/>
        <family val="2"/>
      </rPr>
      <t xml:space="preserve">披露营业成本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收入；情景基准</t>
    </r>
  </si>
  <si>
    <t xml:space="preserve">应收账款/收入</t>
  </si>
  <si>
    <r>
      <rPr>
        <sz val="11"/>
        <color rgb="FF000000"/>
        <rFont val="Calibri"/>
        <family val="2"/>
        <charset val="1"/>
      </rPr>
      <t xml:space="preserve">H1</t>
    </r>
    <r>
      <rPr>
        <sz val="11"/>
        <color rgb="FF000000"/>
        <rFont val="Noto Sans CJK SC"/>
        <family val="2"/>
      </rPr>
      <t xml:space="preserve">期末余额</t>
    </r>
    <r>
      <rPr>
        <sz val="11"/>
        <color rgb="FF000000"/>
        <rFont val="Calibri"/>
        <family val="2"/>
        <charset val="1"/>
      </rPr>
      <t xml:space="preserve">/H1</t>
    </r>
    <r>
      <rPr>
        <sz val="11"/>
        <color rgb="FF000000"/>
        <rFont val="Noto Sans CJK SC"/>
        <family val="2"/>
      </rPr>
      <t xml:space="preserve">收入；简化情景基准</t>
    </r>
  </si>
  <si>
    <t xml:space="preserve">存货/收入</t>
  </si>
  <si>
    <t xml:space="preserve">应付账款/成本</t>
  </si>
  <si>
    <r>
      <rPr>
        <sz val="11"/>
        <color rgb="FF000000"/>
        <rFont val="Calibri"/>
        <family val="2"/>
        <charset val="1"/>
      </rPr>
      <t xml:space="preserve">H1</t>
    </r>
    <r>
      <rPr>
        <sz val="11"/>
        <color rgb="FF000000"/>
        <rFont val="Noto Sans CJK SC"/>
        <family val="2"/>
      </rPr>
      <t xml:space="preserve">期末余额</t>
    </r>
    <r>
      <rPr>
        <sz val="11"/>
        <color rgb="FF000000"/>
        <rFont val="Calibri"/>
        <family val="2"/>
        <charset val="1"/>
      </rPr>
      <t xml:space="preserve">/H1</t>
    </r>
    <r>
      <rPr>
        <sz val="11"/>
        <color rgb="FF000000"/>
        <rFont val="Noto Sans CJK SC"/>
        <family val="2"/>
      </rPr>
      <t xml:space="preserve">营业成本；简化情景基准</t>
    </r>
  </si>
  <si>
    <t xml:space="preserve">资本开支</t>
  </si>
  <si>
    <t xml:space="preserve">人民币元；H1现金流披露购建长期资产支出作为H2情景输入</t>
  </si>
  <si>
    <t xml:space="preserve">折旧</t>
  </si>
  <si>
    <t xml:space="preserve">人民币元；H1披露固定资产折旧作为H2情景输入</t>
  </si>
  <si>
    <t xml:space="preserve">净新增借款</t>
  </si>
  <si>
    <t xml:space="preserve">人民币元；分析者情景参数，缺少逐笔融资计划</t>
  </si>
  <si>
    <t xml:space="preserve">现金股利</t>
  </si>
  <si>
    <t xml:space="preserve">人民币元；分析者情景参数，未假设未来分红</t>
  </si>
  <si>
    <t xml:space="preserve">所得税率</t>
  </si>
  <si>
    <t xml:space="preserve">比例；简化分析者情景参数</t>
  </si>
  <si>
    <t xml:space="preserve">分析敏感性增速变动</t>
  </si>
  <si>
    <t xml:space="preserve">百分点；对H2收入增速上调1个百分点</t>
  </si>
  <si>
    <t xml:space="preserve">项目</t>
  </si>
  <si>
    <r>
      <rPr>
        <b val="true"/>
        <sz val="11"/>
        <color rgb="FFFFFFFF"/>
        <rFont val="Cambria"/>
        <family val="0"/>
        <charset val="1"/>
      </rPr>
      <t xml:space="preserve">H1</t>
    </r>
    <r>
      <rPr>
        <b val="true"/>
        <sz val="11"/>
        <color rgb="FFFFFFFF"/>
        <rFont val="Noto Sans CJK SC"/>
        <family val="2"/>
      </rPr>
      <t xml:space="preserve">期末实际</t>
    </r>
  </si>
  <si>
    <t xml:space="preserve">驱动参数</t>
  </si>
  <si>
    <r>
      <rPr>
        <b val="true"/>
        <sz val="11"/>
        <color rgb="FFFFFFFF"/>
        <rFont val="Cambria"/>
        <family val="0"/>
        <charset val="1"/>
      </rPr>
      <t xml:space="preserve">H2</t>
    </r>
    <r>
      <rPr>
        <b val="true"/>
        <sz val="11"/>
        <color rgb="FFFFFFFF"/>
        <rFont val="Noto Sans CJK SC"/>
        <family val="2"/>
      </rPr>
      <t xml:space="preserve">情景期末</t>
    </r>
  </si>
  <si>
    <t xml:space="preserve">余额变动</t>
  </si>
  <si>
    <r>
      <rPr>
        <b val="true"/>
        <sz val="11"/>
        <color rgb="FFFFFFFF"/>
        <rFont val="Cambria"/>
        <family val="0"/>
        <charset val="1"/>
      </rPr>
      <t xml:space="preserve">2026H1</t>
    </r>
    <r>
      <rPr>
        <b val="true"/>
        <sz val="11"/>
        <color rgb="FFFFFFFF"/>
        <rFont val="Noto Sans CJK SC"/>
        <family val="2"/>
      </rPr>
      <t xml:space="preserve">期末实际</t>
    </r>
  </si>
  <si>
    <r>
      <rPr>
        <b val="true"/>
        <sz val="11"/>
        <color rgb="FFFFFFFF"/>
        <rFont val="Cambria"/>
        <family val="0"/>
        <charset val="1"/>
      </rPr>
      <t xml:space="preserve">H2</t>
    </r>
    <r>
      <rPr>
        <b val="true"/>
        <sz val="11"/>
        <color rgb="FFFFFFFF"/>
        <rFont val="Noto Sans CJK SC"/>
        <family val="2"/>
      </rPr>
      <t xml:space="preserve">增加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变动</t>
    </r>
  </si>
  <si>
    <r>
      <rPr>
        <b val="true"/>
        <sz val="11"/>
        <color rgb="FFFFFFFF"/>
        <rFont val="Cambria"/>
        <family val="0"/>
        <charset val="1"/>
      </rPr>
      <t xml:space="preserve">H2</t>
    </r>
    <r>
      <rPr>
        <b val="true"/>
        <sz val="11"/>
        <color rgb="FFFFFFFF"/>
        <rFont val="Noto Sans CJK SC"/>
        <family val="2"/>
      </rPr>
      <t xml:space="preserve">期末情景</t>
    </r>
  </si>
  <si>
    <t xml:space="preserve">滚动公式</t>
  </si>
  <si>
    <t xml:space="preserve">固定资产净额</t>
  </si>
  <si>
    <t xml:space="preserve">期初+资本开支-折旧</t>
  </si>
  <si>
    <t xml:space="preserve">借款合计</t>
  </si>
  <si>
    <t xml:space="preserve">期初+净新增借款</t>
  </si>
  <si>
    <t xml:space="preserve">净新增借款简化计入短期借款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</si>
  <si>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情景不变</t>
    </r>
  </si>
  <si>
    <r>
      <rPr>
        <b val="true"/>
        <sz val="11"/>
        <color rgb="FFFFFFFF"/>
        <rFont val="Cambria"/>
        <family val="0"/>
        <charset val="1"/>
      </rPr>
      <t xml:space="preserve">2026H2</t>
    </r>
    <r>
      <rPr>
        <b val="true"/>
        <sz val="11"/>
        <color rgb="FFFFFFFF"/>
        <rFont val="Noto Sans CJK SC"/>
        <family val="2"/>
      </rPr>
      <t xml:space="preserve">分析情景</t>
    </r>
  </si>
  <si>
    <t xml:space="preserve">营业收入</t>
  </si>
  <si>
    <t xml:space="preserve">折旧费用</t>
  </si>
  <si>
    <t xml:space="preserve">税前简化利润</t>
  </si>
  <si>
    <t xml:space="preserve">所得税</t>
  </si>
  <si>
    <t xml:space="preserve">加：折旧</t>
  </si>
  <si>
    <t xml:space="preserve">营运资本现金流影响</t>
  </si>
  <si>
    <t xml:space="preserve">经营活动现金流净额（简化）</t>
  </si>
  <si>
    <t xml:space="preserve">支付股利</t>
  </si>
  <si>
    <t xml:space="preserve">现金净变动</t>
  </si>
  <si>
    <t xml:space="preserve">期初现金及现金等价物</t>
  </si>
  <si>
    <t xml:space="preserve">期末现金及现金等价物</t>
  </si>
  <si>
    <r>
      <rPr>
        <b val="true"/>
        <sz val="11"/>
        <color rgb="FFFFFFFF"/>
        <rFont val="Cambria"/>
        <family val="0"/>
        <charset val="1"/>
      </rPr>
      <t xml:space="preserve">2026H2</t>
    </r>
    <r>
      <rPr>
        <b val="true"/>
        <sz val="11"/>
        <color rgb="FFFFFFFF"/>
        <rFont val="Noto Sans CJK SC"/>
        <family val="2"/>
      </rPr>
      <t xml:space="preserve">情景期末</t>
    </r>
  </si>
  <si>
    <t xml:space="preserve">现金</t>
  </si>
  <si>
    <t xml:space="preserve">其他资产（未逐项预测汇总）</t>
  </si>
  <si>
    <t xml:space="preserve">其他负债（未逐项预测汇总）</t>
  </si>
  <si>
    <t xml:space="preserve">权益</t>
  </si>
  <si>
    <t xml:space="preserve">负债和权益</t>
  </si>
  <si>
    <t xml:space="preserve">平衡差额（资产-负债及权益）</t>
  </si>
  <si>
    <t xml:space="preserve">检查项目</t>
  </si>
  <si>
    <t xml:space="preserve">计算结果</t>
  </si>
  <si>
    <t xml:space="preserve">通过标准/说明</t>
  </si>
  <si>
    <r>
      <rPr>
        <sz val="11"/>
        <color rgb="FF000000"/>
        <rFont val="Calibri"/>
        <family val="2"/>
        <charset val="1"/>
      </rPr>
      <t xml:space="preserve">2026H1</t>
    </r>
    <r>
      <rPr>
        <sz val="11"/>
        <color rgb="FF000000"/>
        <rFont val="Noto Sans CJK SC"/>
        <family val="2"/>
      </rPr>
      <t xml:space="preserve">现金滚动差额</t>
    </r>
  </si>
  <si>
    <t xml:space="preserve">绝对值≤1元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</si>
  <si>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现金滚动差额</t>
    </r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</si>
  <si>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资产负债差额</t>
    </r>
  </si>
  <si>
    <t xml:space="preserve">绝对值≤1元；差额显示模型未建模项的滚动限制</t>
  </si>
  <si>
    <t xml:space="preserve">借款滚动差额</t>
  </si>
  <si>
    <t xml:space="preserve">固定资产滚动差额</t>
  </si>
  <si>
    <t xml:space="preserve">权益滚动差额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</si>
  <si>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收入增速</t>
    </r>
    <r>
      <rPr>
        <sz val="11"/>
        <color rgb="FF000000"/>
        <rFont val="Calibri"/>
        <family val="2"/>
        <charset val="1"/>
      </rPr>
      <t xml:space="preserve">+1</t>
    </r>
    <r>
      <rPr>
        <sz val="11"/>
        <color rgb="FF000000"/>
        <rFont val="Noto Sans CJK SC"/>
        <family val="2"/>
      </rPr>
      <t xml:space="preserve">个百分点影响</t>
    </r>
  </si>
  <si>
    <t xml:space="preserve">大于0；公式直接引用敏感性参数</t>
  </si>
  <si>
    <t xml:space="preserve">联动说明</t>
  </si>
  <si>
    <t xml:space="preserve">收入驱动成本及应收/存货；成本驱动应付；资本开支和折旧滚动固定资产；净利润、营运资本变化、资本开支、借款与股利驱动现金；净利润及股利驱动权益。</t>
  </si>
  <si>
    <t xml:space="preserve">分析者情景；其他资产与负债暂按H1余额汇总，未逐项预测</t>
  </si>
  <si>
    <t xml:space="preserve">主题</t>
  </si>
  <si>
    <t xml:space="preserve">内容</t>
  </si>
  <si>
    <t xml:space="preserve">主体、期间与单位</t>
  </si>
  <si>
    <t xml:space="preserve">广东海大集团股份有限公司合并口径；人民币元。年报提供2025/2024年度数据；半年报提供2026H1及2025H1比较数据。流量为对应期间发生额，资产负债项目为期末余额。</t>
  </si>
  <si>
    <t xml:space="preserve">历史来源</t>
  </si>
  <si>
    <t xml:space="preserve">每项历史事实均列出报告名及PDF显示页码；引用页码采用报告印刷页码。年报与半年报期末数按各自披露口径记录。</t>
  </si>
  <si>
    <t xml:space="preserve">情景假设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</si>
  <si>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增速、资本开支、折旧、借款、股利和税率是可编辑分析参数，非公司预算、指引或批准计划。成本率与营运资本比例以</t>
    </r>
    <r>
      <rPr>
        <sz val="11"/>
        <color rgb="FF000000"/>
        <rFont val="Calibri"/>
        <family val="2"/>
        <charset val="1"/>
      </rPr>
      <t xml:space="preserve">H1</t>
    </r>
    <r>
      <rPr>
        <sz val="11"/>
        <color rgb="FF000000"/>
        <rFont val="Noto Sans CJK SC"/>
        <family val="2"/>
      </rPr>
      <t xml:space="preserve">披露数据作为简化基准。</t>
    </r>
  </si>
  <si>
    <t xml:space="preserve">三表联动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</si>
  <si>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利润表、营运资本、固定资产、债务、现金和权益支持表以公式连接。</t>
    </r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现金流采用简化间接法；未逐项建模的经营、投资、融资及综合收益事项会影响预测精度。</t>
    </r>
  </si>
  <si>
    <t xml:space="preserve">模型限制</t>
  </si>
  <si>
    <t xml:space="preserve">公开资料未提供既有模型、批准预算、逐笔债务或获批资本开支计划；H2现金流为简化间接法，其他资产与其他负债先按H1汇总余额持平。该处理仅用于明确展示预测联动和滚动差额，不代表完整资产负债预测或经营计划。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</si>
  <si>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情景结果：期末现金约</t>
    </r>
    <r>
      <rPr>
        <sz val="11"/>
        <color rgb="FF000000"/>
        <rFont val="Calibri"/>
        <family val="2"/>
        <charset val="1"/>
      </rPr>
      <t xml:space="preserve">5773158712.02</t>
    </r>
    <r>
      <rPr>
        <sz val="11"/>
        <color rgb="FF000000"/>
        <rFont val="Noto Sans CJK SC"/>
        <family val="2"/>
      </rPr>
      <t xml:space="preserve">元；期末权益约</t>
    </r>
    <r>
      <rPr>
        <sz val="11"/>
        <color rgb="FF000000"/>
        <rFont val="Calibri"/>
        <family val="2"/>
        <charset val="1"/>
      </rPr>
      <t xml:space="preserve">29388944545.86</t>
    </r>
    <r>
      <rPr>
        <sz val="11"/>
        <color rgb="FF000000"/>
        <rFont val="Noto Sans CJK SC"/>
        <family val="2"/>
      </rPr>
      <t xml:space="preserve">元；资产负债差额</t>
    </r>
    <r>
      <rPr>
        <sz val="11"/>
        <color rgb="FF000000"/>
        <rFont val="Calibri"/>
        <family val="2"/>
        <charset val="1"/>
      </rPr>
      <t xml:space="preserve">0.00</t>
    </r>
    <r>
      <rPr>
        <sz val="11"/>
        <color rgb="FF000000"/>
        <rFont val="Noto Sans CJK SC"/>
        <family val="2"/>
      </rPr>
      <t xml:space="preserve">元；增速敏感性收入影响</t>
    </r>
    <r>
      <rPr>
        <sz val="11"/>
        <color rgb="FF000000"/>
        <rFont val="Calibri"/>
        <family val="2"/>
        <charset val="1"/>
      </rPr>
      <t xml:space="preserve">642399679.63</t>
    </r>
    <r>
      <rPr>
        <sz val="11"/>
        <color rgb="FF000000"/>
        <rFont val="Noto Sans CJK SC"/>
        <family val="2"/>
      </rPr>
      <t xml:space="preserve">元。检查差额保留用于识别其他资产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负债简化持平的局限。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</si>
</sst>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-#,##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color rgb="FF000000"/>
      <name val="Noto Sans CJK SC"/>
      <family val="2"/>
    </font>
    <font>
      <sz val="11"/>
      <color rgb="FF000000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315A6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15A6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5A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17"/>
    <col collapsed="false" customWidth="true" hidden="false" outlineLevel="0" max="5" min="5" style="1" width="19"/>
    <col collapsed="false" customWidth="true" hidden="false" outlineLevel="0" max="6" min="6" style="1" width="2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8</v>
      </c>
      <c r="D2" s="4" t="n">
        <v>128468230914.96</v>
      </c>
      <c r="E2" s="5" t="s">
        <v>9</v>
      </c>
      <c r="F2" s="3" t="s">
        <v>10</v>
      </c>
    </row>
    <row r="3" customFormat="false" ht="15" hidden="false" customHeight="true" outlineLevel="0" collapsed="false">
      <c r="A3" s="3" t="s">
        <v>11</v>
      </c>
      <c r="B3" s="3" t="s">
        <v>12</v>
      </c>
      <c r="C3" s="3" t="s">
        <v>13</v>
      </c>
      <c r="D3" s="4" t="n">
        <v>114601056662.29</v>
      </c>
      <c r="E3" s="5" t="s">
        <v>9</v>
      </c>
      <c r="F3" s="3" t="s">
        <v>10</v>
      </c>
    </row>
    <row r="4" customFormat="false" ht="15" hidden="false" customHeight="true" outlineLevel="0" collapsed="false">
      <c r="A4" s="3" t="s">
        <v>14</v>
      </c>
      <c r="B4" s="3" t="s">
        <v>15</v>
      </c>
      <c r="C4" s="3" t="s">
        <v>8</v>
      </c>
      <c r="D4" s="4" t="n">
        <v>115193343614.54</v>
      </c>
      <c r="E4" s="5" t="s">
        <v>9</v>
      </c>
      <c r="F4" s="3" t="s">
        <v>10</v>
      </c>
    </row>
    <row r="5" customFormat="false" ht="15" hidden="false" customHeight="true" outlineLevel="0" collapsed="false">
      <c r="A5" s="3" t="s">
        <v>16</v>
      </c>
      <c r="B5" s="3" t="s">
        <v>17</v>
      </c>
      <c r="C5" s="3" t="s">
        <v>8</v>
      </c>
      <c r="D5" s="4" t="n">
        <v>4545393791.33</v>
      </c>
      <c r="E5" s="5" t="s">
        <v>9</v>
      </c>
      <c r="F5" s="3" t="s">
        <v>18</v>
      </c>
    </row>
    <row r="6" customFormat="false" ht="15" hidden="false" customHeight="true" outlineLevel="0" collapsed="false">
      <c r="A6" s="3" t="s">
        <v>19</v>
      </c>
      <c r="B6" s="5" t="s">
        <v>20</v>
      </c>
      <c r="C6" s="3" t="s">
        <v>8</v>
      </c>
      <c r="D6" s="4" t="n">
        <v>6260377323.22</v>
      </c>
      <c r="E6" s="5" t="s">
        <v>9</v>
      </c>
      <c r="F6" s="3" t="s">
        <v>21</v>
      </c>
    </row>
    <row r="7" customFormat="false" ht="15" hidden="false" customHeight="true" outlineLevel="0" collapsed="false">
      <c r="A7" s="3" t="s">
        <v>22</v>
      </c>
      <c r="B7" s="5" t="s">
        <v>23</v>
      </c>
      <c r="C7" s="3" t="s">
        <v>8</v>
      </c>
      <c r="D7" s="4" t="n">
        <v>-1341611412.69</v>
      </c>
      <c r="E7" s="5" t="s">
        <v>9</v>
      </c>
      <c r="F7" s="3" t="s">
        <v>24</v>
      </c>
    </row>
    <row r="8" customFormat="false" ht="15" hidden="false" customHeight="true" outlineLevel="0" collapsed="false">
      <c r="A8" s="3" t="s">
        <v>25</v>
      </c>
      <c r="B8" s="5" t="s">
        <v>26</v>
      </c>
      <c r="C8" s="3" t="s">
        <v>8</v>
      </c>
      <c r="D8" s="4" t="n">
        <v>-5175899781.88</v>
      </c>
      <c r="E8" s="5" t="s">
        <v>9</v>
      </c>
      <c r="F8" s="3" t="s">
        <v>24</v>
      </c>
    </row>
    <row r="9" customFormat="false" ht="15" hidden="false" customHeight="true" outlineLevel="0" collapsed="false">
      <c r="A9" s="3" t="s">
        <v>27</v>
      </c>
      <c r="B9" s="5" t="s">
        <v>28</v>
      </c>
      <c r="C9" s="3" t="s">
        <v>29</v>
      </c>
      <c r="D9" s="4" t="n">
        <v>3202836313.58</v>
      </c>
      <c r="E9" s="5" t="s">
        <v>9</v>
      </c>
      <c r="F9" s="3" t="s">
        <v>30</v>
      </c>
    </row>
    <row r="10" customFormat="false" ht="15" hidden="false" customHeight="true" outlineLevel="0" collapsed="false">
      <c r="A10" s="3" t="s">
        <v>31</v>
      </c>
      <c r="B10" s="5" t="s">
        <v>32</v>
      </c>
      <c r="C10" s="3" t="s">
        <v>29</v>
      </c>
      <c r="D10" s="4" t="n">
        <v>2978763231.09</v>
      </c>
      <c r="E10" s="5" t="s">
        <v>9</v>
      </c>
      <c r="F10" s="3" t="s">
        <v>33</v>
      </c>
    </row>
    <row r="11" customFormat="false" ht="15" hidden="false" customHeight="true" outlineLevel="0" collapsed="false">
      <c r="A11" s="3" t="s">
        <v>34</v>
      </c>
      <c r="B11" s="5" t="s">
        <v>35</v>
      </c>
      <c r="C11" s="3" t="s">
        <v>29</v>
      </c>
      <c r="D11" s="4" t="n">
        <v>11371777008.15</v>
      </c>
      <c r="E11" s="5" t="s">
        <v>9</v>
      </c>
      <c r="F11" s="3" t="s">
        <v>33</v>
      </c>
    </row>
    <row r="12" customFormat="false" ht="15" hidden="false" customHeight="true" outlineLevel="0" collapsed="false">
      <c r="A12" s="3" t="s">
        <v>36</v>
      </c>
      <c r="B12" s="5" t="s">
        <v>37</v>
      </c>
      <c r="C12" s="3" t="s">
        <v>29</v>
      </c>
      <c r="D12" s="4" t="n">
        <v>5726047396.44</v>
      </c>
      <c r="E12" s="5" t="s">
        <v>9</v>
      </c>
      <c r="F12" s="3" t="s">
        <v>38</v>
      </c>
    </row>
    <row r="13" customFormat="false" ht="15" hidden="false" customHeight="true" outlineLevel="0" collapsed="false">
      <c r="A13" s="3" t="s">
        <v>39</v>
      </c>
      <c r="B13" s="5" t="s">
        <v>40</v>
      </c>
      <c r="C13" s="3" t="s">
        <v>29</v>
      </c>
      <c r="D13" s="4" t="n">
        <v>17007956953.83</v>
      </c>
      <c r="E13" s="5" t="s">
        <v>9</v>
      </c>
      <c r="F13" s="3" t="s">
        <v>41</v>
      </c>
    </row>
    <row r="14" customFormat="false" ht="15" hidden="false" customHeight="true" outlineLevel="0" collapsed="false">
      <c r="A14" s="3" t="s">
        <v>42</v>
      </c>
      <c r="B14" s="5" t="s">
        <v>43</v>
      </c>
      <c r="C14" s="3" t="s">
        <v>29</v>
      </c>
      <c r="D14" s="4" t="n">
        <v>603959168.05</v>
      </c>
      <c r="E14" s="5" t="s">
        <v>9</v>
      </c>
      <c r="F14" s="3" t="s">
        <v>41</v>
      </c>
    </row>
    <row r="15" customFormat="false" ht="15" hidden="false" customHeight="true" outlineLevel="0" collapsed="false">
      <c r="A15" s="3" t="s">
        <v>44</v>
      </c>
      <c r="B15" s="5" t="s">
        <v>45</v>
      </c>
      <c r="C15" s="3" t="s">
        <v>29</v>
      </c>
      <c r="D15" s="4" t="n">
        <v>1163647077.79</v>
      </c>
      <c r="E15" s="5" t="s">
        <v>9</v>
      </c>
      <c r="F15" s="3" t="s">
        <v>38</v>
      </c>
    </row>
    <row r="16" customFormat="false" ht="15" hidden="false" customHeight="true" outlineLevel="0" collapsed="false">
      <c r="A16" s="3" t="s">
        <v>46</v>
      </c>
      <c r="B16" s="5" t="s">
        <v>47</v>
      </c>
      <c r="C16" s="3" t="s">
        <v>29</v>
      </c>
      <c r="D16" s="4" t="n">
        <v>249637310.5</v>
      </c>
      <c r="E16" s="5" t="s">
        <v>9</v>
      </c>
      <c r="F16" s="3" t="s">
        <v>48</v>
      </c>
    </row>
    <row r="17" customFormat="false" ht="15" hidden="false" customHeight="true" outlineLevel="0" collapsed="false">
      <c r="A17" s="3" t="s">
        <v>49</v>
      </c>
      <c r="B17" s="5" t="s">
        <v>50</v>
      </c>
      <c r="C17" s="3" t="s">
        <v>29</v>
      </c>
      <c r="D17" s="4" t="n">
        <v>47590711885.11</v>
      </c>
      <c r="E17" s="5" t="s">
        <v>9</v>
      </c>
      <c r="F17" s="3" t="s">
        <v>41</v>
      </c>
    </row>
    <row r="18" customFormat="false" ht="15" hidden="false" customHeight="true" outlineLevel="0" collapsed="false">
      <c r="A18" s="3" t="s">
        <v>51</v>
      </c>
      <c r="B18" s="5" t="s">
        <v>52</v>
      </c>
      <c r="C18" s="3" t="s">
        <v>29</v>
      </c>
      <c r="D18" s="4" t="n">
        <v>22497894081.53</v>
      </c>
      <c r="E18" s="5" t="s">
        <v>9</v>
      </c>
      <c r="F18" s="3" t="s">
        <v>38</v>
      </c>
    </row>
    <row r="19" customFormat="false" ht="15" hidden="false" customHeight="true" outlineLevel="0" collapsed="false">
      <c r="A19" s="3" t="s">
        <v>53</v>
      </c>
      <c r="B19" s="5" t="s">
        <v>54</v>
      </c>
      <c r="C19" s="3" t="s">
        <v>29</v>
      </c>
      <c r="D19" s="4" t="n">
        <v>25092817803.58</v>
      </c>
      <c r="E19" s="5" t="s">
        <v>9</v>
      </c>
      <c r="F19" s="3" t="s">
        <v>38</v>
      </c>
    </row>
    <row r="20" customFormat="false" ht="15" hidden="false" customHeight="true" outlineLevel="0" collapsed="false">
      <c r="A20" s="3" t="s">
        <v>55</v>
      </c>
      <c r="B20" s="5" t="s">
        <v>56</v>
      </c>
      <c r="C20" s="3" t="s">
        <v>57</v>
      </c>
      <c r="D20" s="4" t="n">
        <v>64239967963.3</v>
      </c>
      <c r="E20" s="5" t="s">
        <v>9</v>
      </c>
      <c r="F20" s="3" t="s">
        <v>58</v>
      </c>
    </row>
    <row r="21" customFormat="false" ht="15" hidden="false" customHeight="true" outlineLevel="0" collapsed="false">
      <c r="A21" s="3" t="s">
        <v>59</v>
      </c>
      <c r="B21" s="5" t="s">
        <v>56</v>
      </c>
      <c r="C21" s="3" t="s">
        <v>60</v>
      </c>
      <c r="D21" s="4" t="n">
        <v>58830895138.88</v>
      </c>
      <c r="E21" s="5" t="s">
        <v>9</v>
      </c>
      <c r="F21" s="3" t="s">
        <v>58</v>
      </c>
    </row>
    <row r="22" customFormat="false" ht="15" hidden="false" customHeight="true" outlineLevel="0" collapsed="false">
      <c r="A22" s="3" t="s">
        <v>61</v>
      </c>
      <c r="B22" s="5" t="s">
        <v>62</v>
      </c>
      <c r="C22" s="3" t="s">
        <v>57</v>
      </c>
      <c r="D22" s="4" t="n">
        <v>58236827704.54</v>
      </c>
      <c r="E22" s="5" t="s">
        <v>9</v>
      </c>
      <c r="F22" s="3" t="s">
        <v>58</v>
      </c>
    </row>
    <row r="23" customFormat="false" ht="15" hidden="false" customHeight="true" outlineLevel="0" collapsed="false">
      <c r="A23" s="3" t="s">
        <v>63</v>
      </c>
      <c r="B23" s="5" t="s">
        <v>64</v>
      </c>
      <c r="C23" s="3" t="s">
        <v>57</v>
      </c>
      <c r="D23" s="4" t="n">
        <v>1726556952.59</v>
      </c>
      <c r="E23" s="5" t="s">
        <v>9</v>
      </c>
      <c r="F23" s="3" t="s">
        <v>65</v>
      </c>
    </row>
    <row r="24" customFormat="false" ht="15" hidden="false" customHeight="true" outlineLevel="0" collapsed="false">
      <c r="A24" s="3" t="s">
        <v>66</v>
      </c>
      <c r="B24" s="5" t="s">
        <v>20</v>
      </c>
      <c r="C24" s="3" t="s">
        <v>57</v>
      </c>
      <c r="D24" s="4" t="n">
        <v>3923561511.73</v>
      </c>
      <c r="E24" s="5" t="s">
        <v>9</v>
      </c>
      <c r="F24" s="3" t="s">
        <v>67</v>
      </c>
    </row>
    <row r="25" customFormat="false" ht="15" hidden="false" customHeight="true" outlineLevel="0" collapsed="false">
      <c r="A25" s="3" t="s">
        <v>68</v>
      </c>
      <c r="B25" s="5" t="s">
        <v>23</v>
      </c>
      <c r="C25" s="3" t="s">
        <v>57</v>
      </c>
      <c r="D25" s="4" t="n">
        <v>-2993726149.88</v>
      </c>
      <c r="E25" s="5" t="s">
        <v>9</v>
      </c>
      <c r="F25" s="3" t="s">
        <v>69</v>
      </c>
    </row>
    <row r="26" customFormat="false" ht="15" hidden="false" customHeight="true" outlineLevel="0" collapsed="false">
      <c r="A26" s="3" t="s">
        <v>70</v>
      </c>
      <c r="B26" s="5" t="s">
        <v>26</v>
      </c>
      <c r="C26" s="3" t="s">
        <v>57</v>
      </c>
      <c r="D26" s="4" t="n">
        <v>-724819016.92</v>
      </c>
      <c r="E26" s="5" t="s">
        <v>9</v>
      </c>
      <c r="F26" s="3" t="s">
        <v>69</v>
      </c>
    </row>
    <row r="27" customFormat="false" ht="15" hidden="false" customHeight="true" outlineLevel="0" collapsed="false">
      <c r="A27" s="3" t="s">
        <v>71</v>
      </c>
      <c r="B27" s="5" t="s">
        <v>72</v>
      </c>
      <c r="C27" s="3" t="s">
        <v>57</v>
      </c>
      <c r="D27" s="4" t="n">
        <v>136480536.53</v>
      </c>
      <c r="E27" s="5" t="s">
        <v>9</v>
      </c>
      <c r="F27" s="3" t="s">
        <v>69</v>
      </c>
    </row>
    <row r="28" customFormat="false" ht="15" hidden="false" customHeight="true" outlineLevel="0" collapsed="false">
      <c r="A28" s="3" t="s">
        <v>73</v>
      </c>
      <c r="B28" s="5" t="s">
        <v>74</v>
      </c>
      <c r="C28" s="3" t="s">
        <v>75</v>
      </c>
      <c r="D28" s="4" t="n">
        <v>2998575733.57</v>
      </c>
      <c r="E28" s="5" t="s">
        <v>9</v>
      </c>
      <c r="F28" s="3" t="s">
        <v>69</v>
      </c>
    </row>
    <row r="29" customFormat="false" ht="15" hidden="false" customHeight="true" outlineLevel="0" collapsed="false">
      <c r="A29" s="3" t="s">
        <v>76</v>
      </c>
      <c r="B29" s="5" t="s">
        <v>77</v>
      </c>
      <c r="C29" s="3" t="s">
        <v>78</v>
      </c>
      <c r="D29" s="4" t="n">
        <v>3135056270.1</v>
      </c>
      <c r="E29" s="5" t="s">
        <v>9</v>
      </c>
      <c r="F29" s="3" t="s">
        <v>69</v>
      </c>
    </row>
    <row r="30" customFormat="false" ht="15" hidden="false" customHeight="true" outlineLevel="0" collapsed="false">
      <c r="A30" s="3" t="s">
        <v>79</v>
      </c>
      <c r="B30" s="5" t="s">
        <v>32</v>
      </c>
      <c r="C30" s="3" t="s">
        <v>78</v>
      </c>
      <c r="D30" s="4" t="n">
        <v>5411032161.7</v>
      </c>
      <c r="E30" s="5" t="s">
        <v>9</v>
      </c>
      <c r="F30" s="3" t="s">
        <v>80</v>
      </c>
    </row>
    <row r="31" customFormat="false" ht="15" hidden="false" customHeight="true" outlineLevel="0" collapsed="false">
      <c r="A31" s="3" t="s">
        <v>81</v>
      </c>
      <c r="B31" s="5" t="s">
        <v>35</v>
      </c>
      <c r="C31" s="3" t="s">
        <v>78</v>
      </c>
      <c r="D31" s="4" t="n">
        <v>13917906683.6</v>
      </c>
      <c r="E31" s="5" t="s">
        <v>9</v>
      </c>
      <c r="F31" s="3" t="s">
        <v>80</v>
      </c>
    </row>
    <row r="32" customFormat="false" ht="15" hidden="false" customHeight="true" outlineLevel="0" collapsed="false">
      <c r="A32" s="3" t="s">
        <v>82</v>
      </c>
      <c r="B32" s="5" t="s">
        <v>37</v>
      </c>
      <c r="C32" s="3" t="s">
        <v>78</v>
      </c>
      <c r="D32" s="4" t="n">
        <v>7317868613.15</v>
      </c>
      <c r="E32" s="5" t="s">
        <v>9</v>
      </c>
      <c r="F32" s="3" t="s">
        <v>83</v>
      </c>
    </row>
    <row r="33" customFormat="false" ht="15" hidden="false" customHeight="true" outlineLevel="0" collapsed="false">
      <c r="A33" s="3" t="s">
        <v>84</v>
      </c>
      <c r="B33" s="5" t="s">
        <v>40</v>
      </c>
      <c r="C33" s="3" t="s">
        <v>78</v>
      </c>
      <c r="D33" s="4" t="n">
        <v>16764113281.15</v>
      </c>
      <c r="E33" s="5" t="s">
        <v>9</v>
      </c>
      <c r="F33" s="3" t="s">
        <v>80</v>
      </c>
    </row>
    <row r="34" customFormat="false" ht="15" hidden="false" customHeight="true" outlineLevel="0" collapsed="false">
      <c r="A34" s="3" t="s">
        <v>85</v>
      </c>
      <c r="B34" s="5" t="s">
        <v>43</v>
      </c>
      <c r="C34" s="3" t="s">
        <v>78</v>
      </c>
      <c r="D34" s="4" t="n">
        <v>870886016.42</v>
      </c>
      <c r="E34" s="5" t="s">
        <v>9</v>
      </c>
      <c r="F34" s="3" t="s">
        <v>80</v>
      </c>
    </row>
    <row r="35" customFormat="false" ht="15" hidden="false" customHeight="true" outlineLevel="0" collapsed="false">
      <c r="A35" s="3" t="s">
        <v>86</v>
      </c>
      <c r="B35" s="5" t="s">
        <v>45</v>
      </c>
      <c r="C35" s="3" t="s">
        <v>78</v>
      </c>
      <c r="D35" s="4" t="n">
        <v>3601033153.61</v>
      </c>
      <c r="E35" s="5" t="s">
        <v>9</v>
      </c>
      <c r="F35" s="3" t="s">
        <v>83</v>
      </c>
    </row>
    <row r="36" customFormat="false" ht="15" hidden="false" customHeight="true" outlineLevel="0" collapsed="false">
      <c r="A36" s="3" t="s">
        <v>87</v>
      </c>
      <c r="B36" s="5" t="s">
        <v>47</v>
      </c>
      <c r="C36" s="3" t="s">
        <v>78</v>
      </c>
      <c r="D36" s="4" t="n">
        <v>249637310.5</v>
      </c>
      <c r="E36" s="5" t="s">
        <v>9</v>
      </c>
      <c r="F36" s="3" t="s">
        <v>83</v>
      </c>
    </row>
    <row r="37" customFormat="false" ht="15" hidden="false" customHeight="true" outlineLevel="0" collapsed="false">
      <c r="A37" s="3" t="s">
        <v>88</v>
      </c>
      <c r="B37" s="5" t="s">
        <v>50</v>
      </c>
      <c r="C37" s="3" t="s">
        <v>78</v>
      </c>
      <c r="D37" s="4" t="n">
        <v>55290906075.56</v>
      </c>
      <c r="E37" s="5" t="s">
        <v>9</v>
      </c>
      <c r="F37" s="3" t="s">
        <v>80</v>
      </c>
    </row>
    <row r="38" customFormat="false" ht="15" hidden="false" customHeight="true" outlineLevel="0" collapsed="false">
      <c r="A38" s="3" t="s">
        <v>89</v>
      </c>
      <c r="B38" s="5" t="s">
        <v>52</v>
      </c>
      <c r="C38" s="3" t="s">
        <v>78</v>
      </c>
      <c r="D38" s="4" t="n">
        <v>30198088271.98</v>
      </c>
      <c r="E38" s="5" t="s">
        <v>9</v>
      </c>
      <c r="F38" s="3" t="s">
        <v>83</v>
      </c>
    </row>
    <row r="39" customFormat="false" ht="15" hidden="false" customHeight="true" outlineLevel="0" collapsed="false">
      <c r="A39" s="3" t="s">
        <v>90</v>
      </c>
      <c r="B39" s="5" t="s">
        <v>54</v>
      </c>
      <c r="C39" s="3" t="s">
        <v>78</v>
      </c>
      <c r="D39" s="4" t="n">
        <v>25092817803.58</v>
      </c>
      <c r="E39" s="5" t="s">
        <v>9</v>
      </c>
      <c r="F39" s="3" t="s">
        <v>83</v>
      </c>
    </row>
  </sheetData>
  <autoFilter ref="A1:F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30"/>
  </cols>
  <sheetData>
    <row r="1" customFormat="false" ht="15" hidden="false" customHeight="true" outlineLevel="0" collapsed="false">
      <c r="A1" s="2" t="s">
        <v>91</v>
      </c>
      <c r="B1" s="2" t="s">
        <v>92</v>
      </c>
      <c r="C1" s="2" t="s">
        <v>93</v>
      </c>
    </row>
    <row r="2" customFormat="false" ht="15" hidden="false" customHeight="true" outlineLevel="0" collapsed="false">
      <c r="A2" s="3" t="s">
        <v>94</v>
      </c>
      <c r="B2" s="4" t="n">
        <v>0.04</v>
      </c>
      <c r="C2" s="5" t="s">
        <v>95</v>
      </c>
    </row>
    <row r="3" customFormat="false" ht="15" hidden="false" customHeight="true" outlineLevel="0" collapsed="false">
      <c r="A3" s="5" t="s">
        <v>96</v>
      </c>
      <c r="B3" s="4" t="n">
        <v>0.906551319231828</v>
      </c>
      <c r="C3" s="3" t="s">
        <v>97</v>
      </c>
    </row>
    <row r="4" customFormat="false" ht="15" hidden="false" customHeight="true" outlineLevel="0" collapsed="false">
      <c r="A4" s="5" t="s">
        <v>98</v>
      </c>
      <c r="B4" s="4" t="n">
        <v>0.084231551372991</v>
      </c>
      <c r="C4" s="3" t="s">
        <v>99</v>
      </c>
    </row>
    <row r="5" customFormat="false" ht="15" hidden="false" customHeight="true" outlineLevel="0" collapsed="false">
      <c r="A5" s="5" t="s">
        <v>100</v>
      </c>
      <c r="B5" s="4" t="n">
        <v>0.216654944341679</v>
      </c>
      <c r="C5" s="3" t="s">
        <v>99</v>
      </c>
    </row>
    <row r="6" customFormat="false" ht="15" hidden="false" customHeight="true" outlineLevel="0" collapsed="false">
      <c r="A6" s="5" t="s">
        <v>101</v>
      </c>
      <c r="B6" s="4" t="n">
        <v>0.125657061031494</v>
      </c>
      <c r="C6" s="3" t="s">
        <v>102</v>
      </c>
    </row>
    <row r="7" customFormat="false" ht="15" hidden="false" customHeight="true" outlineLevel="0" collapsed="false">
      <c r="A7" s="5" t="s">
        <v>103</v>
      </c>
      <c r="B7" s="4" t="n">
        <v>1692678370.48</v>
      </c>
      <c r="C7" s="5" t="s">
        <v>104</v>
      </c>
    </row>
    <row r="8" customFormat="false" ht="15" hidden="false" customHeight="true" outlineLevel="0" collapsed="false">
      <c r="A8" s="5" t="s">
        <v>105</v>
      </c>
      <c r="B8" s="4" t="n">
        <v>515096879.4</v>
      </c>
      <c r="C8" s="5" t="s">
        <v>106</v>
      </c>
    </row>
    <row r="9" customFormat="false" ht="15" hidden="false" customHeight="true" outlineLevel="0" collapsed="false">
      <c r="A9" s="5" t="s">
        <v>107</v>
      </c>
      <c r="B9" s="4" t="n">
        <v>0</v>
      </c>
      <c r="C9" s="5" t="s">
        <v>108</v>
      </c>
    </row>
    <row r="10" customFormat="false" ht="15" hidden="false" customHeight="true" outlineLevel="0" collapsed="false">
      <c r="A10" s="5" t="s">
        <v>109</v>
      </c>
      <c r="B10" s="4" t="n">
        <v>0</v>
      </c>
      <c r="C10" s="5" t="s">
        <v>110</v>
      </c>
    </row>
    <row r="11" customFormat="false" ht="15" hidden="false" customHeight="true" outlineLevel="0" collapsed="false">
      <c r="A11" s="5" t="s">
        <v>111</v>
      </c>
      <c r="B11" s="4" t="n">
        <v>0.25</v>
      </c>
      <c r="C11" s="5" t="s">
        <v>112</v>
      </c>
    </row>
    <row r="12" customFormat="false" ht="15" hidden="false" customHeight="true" outlineLevel="0" collapsed="false">
      <c r="A12" s="5" t="s">
        <v>113</v>
      </c>
      <c r="B12" s="4" t="n">
        <v>0.01</v>
      </c>
      <c r="C12" s="5" t="s">
        <v>114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3"/>
  </cols>
  <sheetData>
    <row r="1" customFormat="false" ht="15" hidden="false" customHeight="true" outlineLevel="0" collapsed="false">
      <c r="A1" s="2" t="s">
        <v>115</v>
      </c>
      <c r="B1" s="6" t="s">
        <v>116</v>
      </c>
      <c r="C1" s="2" t="s">
        <v>117</v>
      </c>
      <c r="D1" s="6" t="s">
        <v>118</v>
      </c>
      <c r="E1" s="2" t="s">
        <v>119</v>
      </c>
    </row>
    <row r="2" customFormat="false" ht="15" hidden="false" customHeight="true" outlineLevel="0" collapsed="false">
      <c r="A2" s="5" t="s">
        <v>32</v>
      </c>
      <c r="B2" s="4" t="n">
        <v>5411032161.7</v>
      </c>
      <c r="C2" s="4" t="n">
        <f aca="false">情景假设!B4</f>
        <v>0.084231551372991</v>
      </c>
      <c r="D2" s="3" t="n">
        <f aca="false">利润表!B2*C2</f>
        <v>5627473448.168</v>
      </c>
      <c r="E2" s="3" t="n">
        <f aca="false">D2-B2</f>
        <v>216441286.468001</v>
      </c>
    </row>
    <row r="3" customFormat="false" ht="15" hidden="false" customHeight="true" outlineLevel="0" collapsed="false">
      <c r="A3" s="5" t="s">
        <v>35</v>
      </c>
      <c r="B3" s="4" t="n">
        <v>13917906683.6</v>
      </c>
      <c r="C3" s="4" t="n">
        <f aca="false">情景假设!B5</f>
        <v>0.216654944341679</v>
      </c>
      <c r="D3" s="3" t="n">
        <f aca="false">利润表!B2*C3</f>
        <v>14474622950.944</v>
      </c>
      <c r="E3" s="3" t="n">
        <f aca="false">D3-B3</f>
        <v>556716267.344006</v>
      </c>
    </row>
    <row r="4" customFormat="false" ht="15" hidden="false" customHeight="true" outlineLevel="0" collapsed="false">
      <c r="A4" s="5" t="s">
        <v>37</v>
      </c>
      <c r="B4" s="4" t="n">
        <v>7317868613.15</v>
      </c>
      <c r="C4" s="4" t="n">
        <f aca="false">情景假设!B6</f>
        <v>0.125657061031494</v>
      </c>
      <c r="D4" s="3" t="n">
        <f aca="false">利润表!B3*C4</f>
        <v>7610583357.67598</v>
      </c>
      <c r="E4" s="3" t="n">
        <f aca="false">D4-B4</f>
        <v>292714744.525981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15"/>
  </cols>
  <sheetData>
    <row r="1" customFormat="false" ht="15" hidden="false" customHeight="true" outlineLevel="0" collapsed="false">
      <c r="A1" s="2" t="s">
        <v>115</v>
      </c>
      <c r="B1" s="6" t="s">
        <v>120</v>
      </c>
      <c r="C1" s="6" t="s">
        <v>121</v>
      </c>
      <c r="D1" s="6" t="s">
        <v>122</v>
      </c>
      <c r="E1" s="2" t="s">
        <v>123</v>
      </c>
    </row>
    <row r="2" customFormat="false" ht="15" hidden="false" customHeight="true" outlineLevel="0" collapsed="false">
      <c r="A2" s="5" t="s">
        <v>124</v>
      </c>
      <c r="B2" s="4" t="n">
        <v>16764113281.15</v>
      </c>
      <c r="C2" s="3" t="n">
        <f aca="false">情景假设!B7-情景假设!B8</f>
        <v>1177581491.08</v>
      </c>
      <c r="D2" s="3" t="n">
        <f aca="false">B2+C2</f>
        <v>17941694772.23</v>
      </c>
      <c r="E2" s="5" t="s">
        <v>125</v>
      </c>
    </row>
    <row r="3" customFormat="false" ht="15" hidden="false" customHeight="true" outlineLevel="0" collapsed="false">
      <c r="A3" s="5" t="s">
        <v>126</v>
      </c>
      <c r="B3" s="4" t="n">
        <v>3850670464.11</v>
      </c>
      <c r="C3" s="4" t="n">
        <f aca="false">情景假设!B9</f>
        <v>0</v>
      </c>
      <c r="D3" s="3" t="n">
        <f aca="false">B3+C3</f>
        <v>3850670464.11</v>
      </c>
      <c r="E3" s="5" t="s">
        <v>127</v>
      </c>
    </row>
    <row r="4" customFormat="false" ht="15" hidden="false" customHeight="true" outlineLevel="0" collapsed="false">
      <c r="A4" s="5" t="s">
        <v>45</v>
      </c>
      <c r="B4" s="4" t="n">
        <v>3601033153.61</v>
      </c>
      <c r="C4" s="4" t="n">
        <v>0</v>
      </c>
      <c r="D4" s="3" t="n">
        <f aca="false">B4+C3</f>
        <v>3601033153.61</v>
      </c>
      <c r="E4" s="5" t="s">
        <v>128</v>
      </c>
    </row>
    <row r="5" customFormat="false" ht="15" hidden="false" customHeight="true" outlineLevel="0" collapsed="false">
      <c r="A5" s="5" t="s">
        <v>47</v>
      </c>
      <c r="B5" s="4" t="n">
        <v>249637310.5</v>
      </c>
      <c r="C5" s="4" t="n">
        <v>0</v>
      </c>
      <c r="D5" s="4" t="n">
        <f aca="false">B5</f>
        <v>249637310.5</v>
      </c>
      <c r="E5" s="3" t="s">
        <v>129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7"/>
  </cols>
  <sheetData>
    <row r="1" customFormat="false" ht="15" hidden="false" customHeight="true" outlineLevel="0" collapsed="false">
      <c r="A1" s="2" t="s">
        <v>115</v>
      </c>
      <c r="B1" s="6" t="s">
        <v>130</v>
      </c>
    </row>
    <row r="2" customFormat="false" ht="15" hidden="false" customHeight="true" outlineLevel="0" collapsed="false">
      <c r="A2" s="5" t="s">
        <v>131</v>
      </c>
      <c r="B2" s="3" t="n">
        <f aca="false">历史数据!D20*(1+情景假设!B2)</f>
        <v>66809566681.832</v>
      </c>
    </row>
    <row r="3" customFormat="false" ht="15" hidden="false" customHeight="true" outlineLevel="0" collapsed="false">
      <c r="A3" s="5" t="s">
        <v>62</v>
      </c>
      <c r="B3" s="3" t="n">
        <f aca="false">B2*情景假设!B3</f>
        <v>60566300812.7216</v>
      </c>
    </row>
    <row r="4" customFormat="false" ht="15" hidden="false" customHeight="true" outlineLevel="0" collapsed="false">
      <c r="A4" s="5" t="s">
        <v>132</v>
      </c>
      <c r="B4" s="4" t="n">
        <f aca="false">情景假设!B8</f>
        <v>515096879.4</v>
      </c>
    </row>
    <row r="5" customFormat="false" ht="15" hidden="false" customHeight="true" outlineLevel="0" collapsed="false">
      <c r="A5" s="5" t="s">
        <v>133</v>
      </c>
      <c r="B5" s="3" t="n">
        <f aca="false">B2-B3-B4</f>
        <v>5728168989.71042</v>
      </c>
    </row>
    <row r="6" customFormat="false" ht="15" hidden="false" customHeight="true" outlineLevel="0" collapsed="false">
      <c r="A6" s="5" t="s">
        <v>134</v>
      </c>
      <c r="B6" s="3" t="n">
        <f aca="false">MAX(0,B5*情景假设!B11)</f>
        <v>1432042247.42761</v>
      </c>
    </row>
    <row r="7" customFormat="false" ht="15" hidden="false" customHeight="true" outlineLevel="0" collapsed="false">
      <c r="A7" s="5" t="s">
        <v>64</v>
      </c>
      <c r="B7" s="3" t="n">
        <f aca="false">B5-B6</f>
        <v>4296126742.28282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3"/>
  </cols>
  <sheetData>
    <row r="1" customFormat="false" ht="15" hidden="false" customHeight="true" outlineLevel="0" collapsed="false">
      <c r="A1" s="2" t="s">
        <v>115</v>
      </c>
      <c r="B1" s="6" t="s">
        <v>130</v>
      </c>
    </row>
    <row r="2" customFormat="false" ht="15" hidden="false" customHeight="true" outlineLevel="0" collapsed="false">
      <c r="A2" s="5" t="s">
        <v>64</v>
      </c>
      <c r="B2" s="3" t="n">
        <f aca="false">利润表!B7</f>
        <v>4296126742.28282</v>
      </c>
    </row>
    <row r="3" customFormat="false" ht="15" hidden="false" customHeight="true" outlineLevel="0" collapsed="false">
      <c r="A3" s="5" t="s">
        <v>135</v>
      </c>
      <c r="B3" s="4" t="n">
        <f aca="false">利润表!B4</f>
        <v>515096879.4</v>
      </c>
    </row>
    <row r="4" customFormat="false" ht="15" hidden="false" customHeight="true" outlineLevel="0" collapsed="false">
      <c r="A4" s="5" t="s">
        <v>136</v>
      </c>
      <c r="B4" s="3" t="n">
        <f aca="false">-营运资本!E2-营运资本!E3+营运资本!E4</f>
        <v>-480442809.286026</v>
      </c>
    </row>
    <row r="5" customFormat="false" ht="15" hidden="false" customHeight="true" outlineLevel="0" collapsed="false">
      <c r="A5" s="5" t="s">
        <v>137</v>
      </c>
      <c r="B5" s="3" t="n">
        <f aca="false">SUM(B2:B4)</f>
        <v>4330780812.39679</v>
      </c>
    </row>
    <row r="6" customFormat="false" ht="15" hidden="false" customHeight="true" outlineLevel="0" collapsed="false">
      <c r="A6" s="5" t="s">
        <v>103</v>
      </c>
      <c r="B6" s="3" t="n">
        <f aca="false">-情景假设!B7</f>
        <v>-1692678370.48</v>
      </c>
    </row>
    <row r="7" customFormat="false" ht="15" hidden="false" customHeight="true" outlineLevel="0" collapsed="false">
      <c r="A7" s="5" t="s">
        <v>107</v>
      </c>
      <c r="B7" s="4" t="n">
        <f aca="false">情景假设!B9</f>
        <v>0</v>
      </c>
    </row>
    <row r="8" customFormat="false" ht="15" hidden="false" customHeight="true" outlineLevel="0" collapsed="false">
      <c r="A8" s="5" t="s">
        <v>138</v>
      </c>
      <c r="B8" s="3" t="n">
        <f aca="false">-情景假设!B10</f>
        <v>-0</v>
      </c>
    </row>
    <row r="9" customFormat="false" ht="15" hidden="false" customHeight="true" outlineLevel="0" collapsed="false">
      <c r="A9" s="5" t="s">
        <v>139</v>
      </c>
      <c r="B9" s="3" t="n">
        <f aca="false">SUM(B5:B8)</f>
        <v>2638102441.91679</v>
      </c>
    </row>
    <row r="10" customFormat="false" ht="15" hidden="false" customHeight="true" outlineLevel="0" collapsed="false">
      <c r="A10" s="5" t="s">
        <v>140</v>
      </c>
      <c r="B10" s="4" t="n">
        <v>3135056270.1</v>
      </c>
    </row>
    <row r="11" customFormat="false" ht="15" hidden="false" customHeight="true" outlineLevel="0" collapsed="false">
      <c r="A11" s="5" t="s">
        <v>141</v>
      </c>
      <c r="B11" s="3" t="n">
        <f aca="false">B9+B10</f>
        <v>5773158712.01679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7"/>
  </cols>
  <sheetData>
    <row r="1" customFormat="false" ht="15" hidden="false" customHeight="true" outlineLevel="0" collapsed="false">
      <c r="A1" s="2" t="s">
        <v>115</v>
      </c>
      <c r="B1" s="6" t="s">
        <v>142</v>
      </c>
    </row>
    <row r="2" customFormat="false" ht="15" hidden="false" customHeight="true" outlineLevel="0" collapsed="false">
      <c r="A2" s="5" t="s">
        <v>143</v>
      </c>
      <c r="B2" s="3" t="n">
        <f aca="false">现金流量表!B11</f>
        <v>5773158712.01679</v>
      </c>
    </row>
    <row r="3" customFormat="false" ht="15" hidden="false" customHeight="true" outlineLevel="0" collapsed="false">
      <c r="A3" s="5" t="s">
        <v>32</v>
      </c>
      <c r="B3" s="3" t="n">
        <f aca="false">营运资本!D2</f>
        <v>5627473448.168</v>
      </c>
    </row>
    <row r="4" customFormat="false" ht="15" hidden="false" customHeight="true" outlineLevel="0" collapsed="false">
      <c r="A4" s="5" t="s">
        <v>35</v>
      </c>
      <c r="B4" s="3" t="n">
        <f aca="false">营运资本!D3</f>
        <v>14474622950.944</v>
      </c>
    </row>
    <row r="5" customFormat="false" ht="15" hidden="false" customHeight="true" outlineLevel="0" collapsed="false">
      <c r="A5" s="5" t="s">
        <v>124</v>
      </c>
      <c r="B5" s="3" t="n">
        <f aca="false">固定资产与债务!D2</f>
        <v>17941694772.23</v>
      </c>
    </row>
    <row r="6" customFormat="false" ht="15" hidden="false" customHeight="true" outlineLevel="0" collapsed="false">
      <c r="A6" s="5" t="s">
        <v>144</v>
      </c>
      <c r="B6" s="3" t="n">
        <f aca="false">历史数据!D37-历史数据!D29-历史数据!D30-历史数据!D31-历史数据!D33</f>
        <v>16062797679.01</v>
      </c>
    </row>
    <row r="7" customFormat="false" ht="15" hidden="false" customHeight="true" outlineLevel="0" collapsed="false">
      <c r="A7" s="5" t="s">
        <v>50</v>
      </c>
      <c r="B7" s="3" t="n">
        <f aca="false">SUM(B2:B6)</f>
        <v>59879747562.3688</v>
      </c>
    </row>
    <row r="8" customFormat="false" ht="15" hidden="false" customHeight="true" outlineLevel="0" collapsed="false">
      <c r="A8" s="5" t="s">
        <v>37</v>
      </c>
      <c r="B8" s="3" t="n">
        <f aca="false">营运资本!D4</f>
        <v>7610583357.67598</v>
      </c>
    </row>
    <row r="9" customFormat="false" ht="15" hidden="false" customHeight="true" outlineLevel="0" collapsed="false">
      <c r="A9" s="5" t="s">
        <v>126</v>
      </c>
      <c r="B9" s="3" t="n">
        <f aca="false">固定资产与债务!D3</f>
        <v>3850670464.11</v>
      </c>
    </row>
    <row r="10" customFormat="false" ht="15" hidden="false" customHeight="true" outlineLevel="0" collapsed="false">
      <c r="A10" s="5" t="s">
        <v>145</v>
      </c>
      <c r="B10" s="3" t="n">
        <f aca="false">历史数据!D38-历史数据!D32-历史数据!D35-历史数据!D36</f>
        <v>19029549194.72</v>
      </c>
    </row>
    <row r="11" customFormat="false" ht="15" hidden="false" customHeight="true" outlineLevel="0" collapsed="false">
      <c r="A11" s="5" t="s">
        <v>146</v>
      </c>
      <c r="B11" s="3" t="n">
        <f aca="false">历史数据!D39+利润表!B7-情景假设!B10</f>
        <v>29388944545.8628</v>
      </c>
    </row>
    <row r="12" customFormat="false" ht="15" hidden="false" customHeight="true" outlineLevel="0" collapsed="false">
      <c r="A12" s="5" t="s">
        <v>147</v>
      </c>
      <c r="B12" s="3" t="n">
        <f aca="false">SUM(B8:B11)</f>
        <v>59879747562.3688</v>
      </c>
    </row>
    <row r="13" customFormat="false" ht="15" hidden="false" customHeight="true" outlineLevel="0" collapsed="false">
      <c r="A13" s="5" t="s">
        <v>148</v>
      </c>
      <c r="B13" s="3" t="n">
        <f aca="false">B7-B12</f>
        <v>0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2"/>
    <col collapsed="false" customWidth="true" hidden="false" outlineLevel="0" max="3" min="3" style="1" width="29"/>
  </cols>
  <sheetData>
    <row r="1" customFormat="false" ht="15" hidden="false" customHeight="true" outlineLevel="0" collapsed="false">
      <c r="A1" s="2" t="s">
        <v>149</v>
      </c>
      <c r="B1" s="2" t="s">
        <v>150</v>
      </c>
      <c r="C1" s="2" t="s">
        <v>151</v>
      </c>
    </row>
    <row r="2" customFormat="false" ht="15" hidden="false" customHeight="true" outlineLevel="0" collapsed="false">
      <c r="A2" s="3" t="s">
        <v>152</v>
      </c>
      <c r="B2" s="3" t="n">
        <f aca="false">历史数据!D28+历史数据!D27-历史数据!D29</f>
        <v>0</v>
      </c>
      <c r="C2" s="5" t="s">
        <v>153</v>
      </c>
    </row>
    <row r="3" customFormat="false" ht="15" hidden="false" customHeight="true" outlineLevel="0" collapsed="false">
      <c r="A3" s="3" t="s">
        <v>154</v>
      </c>
      <c r="B3" s="3" t="n">
        <f aca="false">现金流量表!B9+现金流量表!B10-现金流量表!B11</f>
        <v>0</v>
      </c>
      <c r="C3" s="5" t="s">
        <v>153</v>
      </c>
    </row>
    <row r="4" customFormat="false" ht="15" hidden="false" customHeight="true" outlineLevel="0" collapsed="false">
      <c r="A4" s="3" t="s">
        <v>155</v>
      </c>
      <c r="B4" s="3" t="n">
        <f aca="false">资产负债表!B13</f>
        <v>0</v>
      </c>
      <c r="C4" s="5" t="s">
        <v>156</v>
      </c>
    </row>
    <row r="5" customFormat="false" ht="15" hidden="false" customHeight="true" outlineLevel="0" collapsed="false">
      <c r="A5" s="5" t="s">
        <v>157</v>
      </c>
      <c r="B5" s="3" t="n">
        <f aca="false">固定资产与债务!D3-固定资产与债务!B3-固定资产与债务!C3</f>
        <v>0</v>
      </c>
      <c r="C5" s="5" t="s">
        <v>153</v>
      </c>
    </row>
    <row r="6" customFormat="false" ht="15" hidden="false" customHeight="true" outlineLevel="0" collapsed="false">
      <c r="A6" s="5" t="s">
        <v>158</v>
      </c>
      <c r="B6" s="3" t="n">
        <f aca="false">固定资产与债务!D2-固定资产与债务!B2-固定资产与债务!C2</f>
        <v>0</v>
      </c>
      <c r="C6" s="5" t="s">
        <v>153</v>
      </c>
    </row>
    <row r="7" customFormat="false" ht="15" hidden="false" customHeight="true" outlineLevel="0" collapsed="false">
      <c r="A7" s="5" t="s">
        <v>159</v>
      </c>
      <c r="B7" s="3" t="n">
        <f aca="false">资产负债表!B11-历史数据!D39-利润表!B7+情景假设!B10</f>
        <v>0</v>
      </c>
      <c r="C7" s="5" t="s">
        <v>153</v>
      </c>
    </row>
    <row r="8" customFormat="false" ht="15" hidden="false" customHeight="true" outlineLevel="0" collapsed="false">
      <c r="A8" s="3" t="s">
        <v>160</v>
      </c>
      <c r="B8" s="3" t="n">
        <f aca="false">历史数据!D20*(1+情景假设!B2+情景假设!B12)-利润表!B2</f>
        <v>642399679.632996</v>
      </c>
      <c r="C8" s="5" t="s">
        <v>161</v>
      </c>
    </row>
    <row r="9" customFormat="false" ht="15" hidden="false" customHeight="true" outlineLevel="0" collapsed="false">
      <c r="A9" s="5" t="s">
        <v>162</v>
      </c>
      <c r="B9" s="5" t="s">
        <v>163</v>
      </c>
      <c r="C9" s="5" t="s">
        <v>164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2"/>
  </cols>
  <sheetData>
    <row r="1" customFormat="false" ht="15" hidden="false" customHeight="true" outlineLevel="0" collapsed="false">
      <c r="A1" s="2" t="s">
        <v>165</v>
      </c>
      <c r="B1" s="2" t="s">
        <v>166</v>
      </c>
    </row>
    <row r="2" customFormat="false" ht="15" hidden="false" customHeight="true" outlineLevel="0" collapsed="false">
      <c r="A2" s="5" t="s">
        <v>167</v>
      </c>
      <c r="B2" s="5" t="s">
        <v>168</v>
      </c>
    </row>
    <row r="3" customFormat="false" ht="15" hidden="false" customHeight="true" outlineLevel="0" collapsed="false">
      <c r="A3" s="5" t="s">
        <v>169</v>
      </c>
      <c r="B3" s="5" t="s">
        <v>170</v>
      </c>
    </row>
    <row r="4" customFormat="false" ht="15" hidden="false" customHeight="true" outlineLevel="0" collapsed="false">
      <c r="A4" s="5" t="s">
        <v>171</v>
      </c>
      <c r="B4" s="3" t="s">
        <v>172</v>
      </c>
    </row>
    <row r="5" customFormat="false" ht="15" hidden="false" customHeight="true" outlineLevel="0" collapsed="false">
      <c r="A5" s="5" t="s">
        <v>173</v>
      </c>
      <c r="B5" s="3" t="s">
        <v>174</v>
      </c>
    </row>
    <row r="6" customFormat="false" ht="15" hidden="false" customHeight="true" outlineLevel="0" collapsed="false">
      <c r="A6" s="5" t="s">
        <v>175</v>
      </c>
      <c r="B6" s="5" t="s">
        <v>176</v>
      </c>
    </row>
    <row r="7" customFormat="false" ht="15" hidden="false" customHeight="false" outlineLevel="0" collapsed="false">
      <c r="B7" s="1" t="s">
        <v>177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2026-10-13T18:58:35Z</dcterms:created>
  <dc:creator>openpyxl</dc:creator>
  <dc:description/>
  <dc:language>en-US</dc:language>
  <cp:lastModifiedBy/>
  <dcterms:modified xsi:type="dcterms:W3CDTF">2026-10-13T18:58:51Z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
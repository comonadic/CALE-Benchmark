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披露复核" sheetId="1" state="visible" r:id="rId1"/>
    <sheet xmlns:r="http://schemas.openxmlformats.org/officeDocument/2006/relationships" name="授权与条款" sheetId="2" state="visible" r:id="rId2"/>
    <sheet xmlns:r="http://schemas.openxmlformats.org/officeDocument/2006/relationships" name="证据及缺口" sheetId="3" state="visible" r:id="rId3"/>
  </sheets>
  <definedNames>
    <definedName name="_xlnm._FilterDatabase" localSheetId="0" hidden="1">'披露复核'!$A$1:$I$26</definedName>
    <definedName name="_xlnm.Print_Titles" localSheetId="0">'披露复核'!$1:$1</definedName>
    <definedName name="_xlnm._FilterDatabase" localSheetId="1" hidden="1">'授权与条款'!$A$1:$E$1</definedName>
    <definedName name="_xlnm.Print_Titles" localSheetId="1">'授权与条款'!$1:$1</definedName>
    <definedName name="_xlnm._FilterDatabase" localSheetId="2" hidden="1">'证据及缺口'!$A$1:$F$7</definedName>
    <definedName name="_xlnm.Print_Titles" localSheetId="2">'证据及缺口'!$1:$1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000000%"/>
  </numFmts>
  <fonts count="3">
    <font>
      <name val="Calibri"/>
      <family val="2"/>
      <color theme="1"/>
      <sz val="11"/>
      <scheme val="minor"/>
    </font>
    <font>
      <name val="等线"/>
      <b val="1"/>
      <color rgb="00FFFFFF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zoomScale="8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34" customWidth="1" min="2" max="2"/>
    <col width="25" customWidth="1" min="3" max="3"/>
    <col width="18" customWidth="1" min="4" max="4"/>
    <col width="20" customWidth="1" min="5" max="5"/>
    <col width="30" customWidth="1" min="6" max="6"/>
    <col width="33" customWidth="1" min="7" max="7"/>
    <col width="60" customWidth="1" min="8" max="8"/>
    <col width="70" customWidth="1" min="9" max="9"/>
  </cols>
  <sheetData>
    <row r="1">
      <c r="A1" s="1" t="inlineStr">
        <is>
          <t>主体/项目</t>
        </is>
      </c>
      <c r="B1" s="1" t="inlineStr">
        <is>
          <t>披露字段</t>
        </is>
      </c>
      <c r="C1" s="1" t="inlineStr">
        <is>
          <t>原披露数值</t>
        </is>
      </c>
      <c r="D1" s="1" t="inlineStr">
        <is>
          <t>原单位</t>
        </is>
      </c>
      <c r="E1" s="1" t="inlineStr">
        <is>
          <t>换算系数</t>
        </is>
      </c>
      <c r="F1" s="1" t="inlineStr">
        <is>
          <t>人民币元/比例（公式）</t>
        </is>
      </c>
      <c r="G1" s="1" t="inlineStr">
        <is>
          <t>时点/期间属性</t>
        </is>
      </c>
      <c r="H1" s="1" t="inlineStr">
        <is>
          <t>来源与定位</t>
        </is>
      </c>
      <c r="I1" s="1" t="inlineStr">
        <is>
          <t>复核结论/边界</t>
        </is>
      </c>
    </row>
    <row r="2" ht="80" customHeight="1">
      <c r="A2" s="2" t="inlineStr">
        <is>
          <t>期货公司</t>
        </is>
      </c>
      <c r="B2" s="2" t="inlineStr">
        <is>
          <t>期初金额</t>
        </is>
      </c>
      <c r="C2" s="3" t="n">
        <v>43985.34</v>
      </c>
      <c r="D2" s="2" t="inlineStr">
        <is>
          <t>万元</t>
        </is>
      </c>
      <c r="E2" s="2" t="n">
        <v>10000</v>
      </c>
      <c r="F2" s="3">
        <f>C2*E2</f>
        <v/>
      </c>
      <c r="G2" s="2" t="inlineStr">
        <is>
          <t>2026-01-01存量</t>
        </is>
      </c>
      <c r="H2" s="2" t="inlineStr">
        <is>
          <t>halfyear_report_2026.pdf；PDF第25页/印刷第24页；衍生品投资表</t>
        </is>
      </c>
      <c r="I2" s="2" t="inlineStr">
        <is>
          <t>按原字段保留；不得与其他字段替代</t>
        </is>
      </c>
    </row>
    <row r="3" ht="80" customHeight="1">
      <c r="A3" s="2" t="inlineStr">
        <is>
          <t>期货公司</t>
        </is>
      </c>
      <c r="B3" s="2" t="inlineStr">
        <is>
          <t>当期公允价值变动损益</t>
        </is>
      </c>
      <c r="C3" s="3" t="n">
        <v>-4639.58</v>
      </c>
      <c r="D3" s="2" t="inlineStr">
        <is>
          <t>万元</t>
        </is>
      </c>
      <c r="E3" s="2" t="n">
        <v>10000</v>
      </c>
      <c r="F3" s="3">
        <f>C3*E3</f>
        <v/>
      </c>
      <c r="G3" s="2" t="inlineStr">
        <is>
          <t>2026H1期间变动/损益流量</t>
        </is>
      </c>
      <c r="H3" s="2" t="inlineStr">
        <is>
          <t>halfyear_report_2026.pdf；PDF第25页/印刷第24页；衍生品投资表</t>
        </is>
      </c>
      <c r="I3" s="2" t="inlineStr">
        <is>
          <t>按原字段保留；不得与其他字段替代</t>
        </is>
      </c>
    </row>
    <row r="4" ht="80" customHeight="1">
      <c r="A4" s="2" t="inlineStr">
        <is>
          <t>期货公司</t>
        </is>
      </c>
      <c r="B4" s="2" t="inlineStr">
        <is>
          <t>计入权益累计公允价值变动</t>
        </is>
      </c>
      <c r="C4" s="3" t="n">
        <v>-10718.22</v>
      </c>
      <c r="D4" s="2" t="inlineStr">
        <is>
          <t>万元</t>
        </is>
      </c>
      <c r="E4" s="2" t="n">
        <v>10000</v>
      </c>
      <c r="F4" s="3">
        <f>C4*E4</f>
        <v/>
      </c>
      <c r="G4" s="2" t="inlineStr">
        <is>
          <t>截至期末累计权益金额；非本期损益</t>
        </is>
      </c>
      <c r="H4" s="2" t="inlineStr">
        <is>
          <t>halfyear_report_2026.pdf；PDF第25页/印刷第24页；衍生品投资表</t>
        </is>
      </c>
      <c r="I4" s="2" t="inlineStr">
        <is>
          <t>按原字段保留；不得与其他字段替代</t>
        </is>
      </c>
    </row>
    <row r="5" ht="80" customHeight="1">
      <c r="A5" s="2" t="inlineStr">
        <is>
          <t>期货公司</t>
        </is>
      </c>
      <c r="B5" s="2" t="inlineStr">
        <is>
          <t>报告期购入金额</t>
        </is>
      </c>
      <c r="C5" s="3" t="n">
        <v>67976.44</v>
      </c>
      <c r="D5" s="2" t="inlineStr">
        <is>
          <t>万元</t>
        </is>
      </c>
      <c r="E5" s="2" t="n">
        <v>10000</v>
      </c>
      <c r="F5" s="3">
        <f>C5*E5</f>
        <v/>
      </c>
      <c r="G5" s="2" t="inlineStr">
        <is>
          <t>2026H1期间交易流量</t>
        </is>
      </c>
      <c r="H5" s="2" t="inlineStr">
        <is>
          <t>halfyear_report_2026.pdf；PDF第25页/印刷第24页；衍生品投资表</t>
        </is>
      </c>
      <c r="I5" s="2" t="inlineStr">
        <is>
          <t>按原字段保留；不得与其他字段替代</t>
        </is>
      </c>
    </row>
    <row r="6" ht="80" customHeight="1">
      <c r="A6" s="2" t="inlineStr">
        <is>
          <t>期货公司</t>
        </is>
      </c>
      <c r="B6" s="2" t="inlineStr">
        <is>
          <t>报告期售出金额</t>
        </is>
      </c>
      <c r="C6" s="3" t="n">
        <v>47100.25</v>
      </c>
      <c r="D6" s="2" t="inlineStr">
        <is>
          <t>万元</t>
        </is>
      </c>
      <c r="E6" s="2" t="n">
        <v>10000</v>
      </c>
      <c r="F6" s="3">
        <f>C6*E6</f>
        <v/>
      </c>
      <c r="G6" s="2" t="inlineStr">
        <is>
          <t>2026H1期间交易流量</t>
        </is>
      </c>
      <c r="H6" s="2" t="inlineStr">
        <is>
          <t>halfyear_report_2026.pdf；PDF第25页/印刷第24页；衍生品投资表</t>
        </is>
      </c>
      <c r="I6" s="2" t="inlineStr">
        <is>
          <t>按原字段保留；不得与其他字段替代</t>
        </is>
      </c>
    </row>
    <row r="7" ht="80" customHeight="1">
      <c r="A7" s="2" t="inlineStr">
        <is>
          <t>期货公司</t>
        </is>
      </c>
      <c r="B7" s="2" t="inlineStr">
        <is>
          <t>期末金额</t>
        </is>
      </c>
      <c r="C7" s="3" t="n">
        <v>64041.81</v>
      </c>
      <c r="D7" s="2" t="inlineStr">
        <is>
          <t>万元</t>
        </is>
      </c>
      <c r="E7" s="2" t="n">
        <v>10000</v>
      </c>
      <c r="F7" s="3">
        <f>C7*E7</f>
        <v/>
      </c>
      <c r="G7" s="2" t="inlineStr">
        <is>
          <t>2026-06-30期末存量；非期间损益</t>
        </is>
      </c>
      <c r="H7" s="2" t="inlineStr">
        <is>
          <t>halfyear_report_2026.pdf；PDF第25页/印刷第24页；衍生品投资表</t>
        </is>
      </c>
      <c r="I7" s="2" t="inlineStr">
        <is>
          <t>按原字段保留；不得与其他字段替代</t>
        </is>
      </c>
    </row>
    <row r="8" ht="80" customHeight="1">
      <c r="A8" s="2" t="inlineStr">
        <is>
          <t>期货公司</t>
        </is>
      </c>
      <c r="B8" s="2" t="inlineStr">
        <is>
          <t>期末净资产占比</t>
        </is>
      </c>
      <c r="C8" s="4" t="n">
        <v>0.027</v>
      </c>
      <c r="D8" s="2" t="inlineStr">
        <is>
          <t>比例</t>
        </is>
      </c>
      <c r="E8" s="2" t="n">
        <v>1</v>
      </c>
      <c r="F8" s="4">
        <f>C8*E8</f>
        <v/>
      </c>
      <c r="G8" s="2" t="inlineStr">
        <is>
          <t>2026-06-30存量比例</t>
        </is>
      </c>
      <c r="H8" s="2" t="inlineStr">
        <is>
          <t>halfyear_report_2026.pdf；PDF第25页/印刷第24页；衍生品投资表</t>
        </is>
      </c>
      <c r="I8" s="2" t="inlineStr">
        <is>
          <t>按原字段保留；不得与其他字段替代</t>
        </is>
      </c>
    </row>
    <row r="9" ht="80" customHeight="1">
      <c r="A9" s="2" t="inlineStr">
        <is>
          <t>商业银行</t>
        </is>
      </c>
      <c r="B9" s="2" t="inlineStr">
        <is>
          <t>当期公允价值变动损益</t>
        </is>
      </c>
      <c r="C9" s="3" t="n">
        <v>-608.01</v>
      </c>
      <c r="D9" s="2" t="inlineStr">
        <is>
          <t>万元</t>
        </is>
      </c>
      <c r="E9" s="2" t="n">
        <v>10000</v>
      </c>
      <c r="F9" s="3">
        <f>C9*E9</f>
        <v/>
      </c>
      <c r="G9" s="2" t="inlineStr">
        <is>
          <t>2026H1期间变动/损益流量</t>
        </is>
      </c>
      <c r="H9" s="2" t="inlineStr">
        <is>
          <t>halfyear_report_2026.pdf；PDF第25页/印刷第24页；衍生品投资表</t>
        </is>
      </c>
      <c r="I9" s="2" t="inlineStr">
        <is>
          <t>按原字段保留；不得与其他字段替代</t>
        </is>
      </c>
    </row>
    <row r="10" ht="80" customHeight="1">
      <c r="A10" s="2" t="inlineStr">
        <is>
          <t>商业银行</t>
        </is>
      </c>
      <c r="B10" s="2" t="inlineStr">
        <is>
          <t>计入权益累计公允价值变动</t>
        </is>
      </c>
      <c r="C10" s="3" t="n">
        <v>336.27</v>
      </c>
      <c r="D10" s="2" t="inlineStr">
        <is>
          <t>万元</t>
        </is>
      </c>
      <c r="E10" s="2" t="n">
        <v>10000</v>
      </c>
      <c r="F10" s="3">
        <f>C10*E10</f>
        <v/>
      </c>
      <c r="G10" s="2" t="inlineStr">
        <is>
          <t>截至期末累计权益金额；非本期损益</t>
        </is>
      </c>
      <c r="H10" s="2" t="inlineStr">
        <is>
          <t>halfyear_report_2026.pdf；PDF第25页/印刷第24页；衍生品投资表</t>
        </is>
      </c>
      <c r="I10" s="2" t="inlineStr">
        <is>
          <t>按原字段保留；不得与其他字段替代</t>
        </is>
      </c>
    </row>
    <row r="11" ht="80" customHeight="1">
      <c r="A11" s="2" t="inlineStr">
        <is>
          <t>商业银行</t>
        </is>
      </c>
      <c r="B11" s="2" t="inlineStr">
        <is>
          <t>期末金额</t>
        </is>
      </c>
      <c r="C11" s="3" t="n">
        <v>0</v>
      </c>
      <c r="D11" s="2" t="inlineStr">
        <is>
          <t>万元</t>
        </is>
      </c>
      <c r="E11" s="2" t="n">
        <v>10000</v>
      </c>
      <c r="F11" s="3">
        <f>C11*E11</f>
        <v/>
      </c>
      <c r="G11" s="2" t="inlineStr">
        <is>
          <t>2026-06-30期末存量</t>
        </is>
      </c>
      <c r="H11" s="2" t="inlineStr">
        <is>
          <t>halfyear_report_2026.pdf；PDF第25页/印刷第24页；衍生品投资表</t>
        </is>
      </c>
      <c r="I11" s="2" t="inlineStr">
        <is>
          <t>按原字段保留；不得与其他字段替代</t>
        </is>
      </c>
    </row>
    <row r="12" ht="80" customHeight="1">
      <c r="A12" s="2" t="inlineStr">
        <is>
          <t>合计</t>
        </is>
      </c>
      <c r="B12" s="2" t="inlineStr">
        <is>
          <t>当期公允价值变动损益</t>
        </is>
      </c>
      <c r="C12" s="3" t="n">
        <v>-5247.59</v>
      </c>
      <c r="D12" s="2" t="inlineStr">
        <is>
          <t>万元</t>
        </is>
      </c>
      <c r="E12" s="2" t="n">
        <v>10000</v>
      </c>
      <c r="F12" s="3">
        <f>C12*E12</f>
        <v/>
      </c>
      <c r="G12" s="2" t="inlineStr">
        <is>
          <t>2026H1期间变动/损益流量</t>
        </is>
      </c>
      <c r="H12" s="2" t="inlineStr">
        <is>
          <t>halfyear_report_2026.pdf；PDF第25页/印刷第24页；衍生品投资表</t>
        </is>
      </c>
      <c r="I12" s="2" t="inlineStr">
        <is>
          <t>按原字段保留；不得与其他字段替代</t>
        </is>
      </c>
    </row>
    <row r="13" ht="80" customHeight="1">
      <c r="A13" s="2" t="inlineStr">
        <is>
          <t>合计</t>
        </is>
      </c>
      <c r="B13" s="2" t="inlineStr">
        <is>
          <t>计入权益累计公允价值变动</t>
        </is>
      </c>
      <c r="C13" s="3" t="n">
        <v>-10381.95</v>
      </c>
      <c r="D13" s="2" t="inlineStr">
        <is>
          <t>万元</t>
        </is>
      </c>
      <c r="E13" s="2" t="n">
        <v>10000</v>
      </c>
      <c r="F13" s="3">
        <f>C13*E13</f>
        <v/>
      </c>
      <c r="G13" s="2" t="inlineStr">
        <is>
          <t>截至期末累计权益金额；非本期损益</t>
        </is>
      </c>
      <c r="H13" s="2" t="inlineStr">
        <is>
          <t>halfyear_report_2026.pdf；PDF第25页/印刷第24页；衍生品投资表</t>
        </is>
      </c>
      <c r="I13" s="2" t="inlineStr">
        <is>
          <t>按原字段保留；不得与其他字段替代</t>
        </is>
      </c>
    </row>
    <row r="14" ht="80" customHeight="1">
      <c r="A14" s="2" t="inlineStr">
        <is>
          <t>合计</t>
        </is>
      </c>
      <c r="B14" s="2" t="inlineStr">
        <is>
          <t>期末金额</t>
        </is>
      </c>
      <c r="C14" s="3" t="n">
        <v>64041.81</v>
      </c>
      <c r="D14" s="2" t="inlineStr">
        <is>
          <t>万元</t>
        </is>
      </c>
      <c r="E14" s="2" t="n">
        <v>10000</v>
      </c>
      <c r="F14" s="3">
        <f>C14*E14</f>
        <v/>
      </c>
      <c r="G14" s="2" t="inlineStr">
        <is>
          <t>2026-06-30期末存量；非保证金余额</t>
        </is>
      </c>
      <c r="H14" s="2" t="inlineStr">
        <is>
          <t>halfyear_report_2026.pdf；PDF第25页/印刷第24页；衍生品投资表</t>
        </is>
      </c>
      <c r="I14" s="2" t="inlineStr">
        <is>
          <t>按原字段保留；不得与其他字段替代</t>
        </is>
      </c>
    </row>
    <row r="15" ht="80" customHeight="1">
      <c r="A15" s="2" t="inlineStr">
        <is>
          <t>合计</t>
        </is>
      </c>
      <c r="B15" s="2" t="inlineStr">
        <is>
          <t>期末净资产占比</t>
        </is>
      </c>
      <c r="C15" s="4" t="n">
        <v>0.027</v>
      </c>
      <c r="D15" s="2" t="inlineStr">
        <is>
          <t>比例</t>
        </is>
      </c>
      <c r="E15" s="2" t="n">
        <v>1</v>
      </c>
      <c r="F15" s="4">
        <f>C15*E15</f>
        <v/>
      </c>
      <c r="G15" s="2" t="inlineStr">
        <is>
          <t>2026-06-30存量比例</t>
        </is>
      </c>
      <c r="H15" s="2" t="inlineStr">
        <is>
          <t>halfyear_report_2026.pdf；PDF第25页/印刷第24页；衍生品投资表</t>
        </is>
      </c>
      <c r="I15" s="2" t="inlineStr">
        <is>
          <t>按原字段保留；不得与其他字段替代</t>
        </is>
      </c>
    </row>
    <row r="16" ht="80" customHeight="1">
      <c r="A16" s="2" t="inlineStr">
        <is>
          <t>商品及外汇合计</t>
        </is>
      </c>
      <c r="B16" s="2" t="inlineStr">
        <is>
          <t>期现相抵实际损益</t>
        </is>
      </c>
      <c r="C16" s="3" t="n">
        <v>2.9</v>
      </c>
      <c r="D16" s="2" t="inlineStr">
        <is>
          <t>亿元</t>
        </is>
      </c>
      <c r="E16" s="2" t="n">
        <v>100000000</v>
      </c>
      <c r="F16" s="3">
        <f>C16*E16</f>
        <v/>
      </c>
      <c r="G16" s="2" t="inlineStr">
        <is>
          <t>2026H1披露期间实际损益；约数</t>
        </is>
      </c>
      <c r="H16" s="2" t="inlineStr">
        <is>
          <t>halfyear_report_2026.pdf；PDF第25页/印刷第24页；衍生品投资表；报告期实际损益说明</t>
        </is>
      </c>
      <c r="I16" s="2" t="inlineStr">
        <is>
          <t>2.9亿元=29,000万元=290,000,000元；仅披露值，不可由现有逐笔数据重算；不是衍生品单独损益</t>
        </is>
      </c>
    </row>
    <row r="17" ht="80" customHeight="1">
      <c r="A17" s="2" t="inlineStr">
        <is>
          <t>勾稽/口径</t>
        </is>
      </c>
      <c r="B17" s="2" t="inlineStr">
        <is>
          <t>公允价值变动合计差额</t>
        </is>
      </c>
      <c r="C17" s="2" t="n"/>
      <c r="D17" s="2" t="inlineStr">
        <is>
          <t>元/比率</t>
        </is>
      </c>
      <c r="E17" s="2" t="n"/>
      <c r="F17" s="3">
        <f>F3+F9-F12</f>
        <v/>
      </c>
      <c r="G17" s="2" t="inlineStr">
        <is>
          <t>同字段合计</t>
        </is>
      </c>
      <c r="H17" s="2" t="inlineStr">
        <is>
          <t>halfyear_report_2026.pdf；PDF第25页/印刷第24页；衍生品投资表</t>
        </is>
      </c>
      <c r="I17" s="2" t="inlineStr">
        <is>
          <t>0元；-46,395,800-6,080,100=-52,475,900元</t>
        </is>
      </c>
    </row>
    <row r="18" ht="80" customHeight="1">
      <c r="A18" s="2" t="inlineStr">
        <is>
          <t>勾稽/口径</t>
        </is>
      </c>
      <c r="B18" s="2" t="inlineStr">
        <is>
          <t>累计权益变动合计差额</t>
        </is>
      </c>
      <c r="C18" s="2" t="n"/>
      <c r="D18" s="2" t="inlineStr">
        <is>
          <t>元/比率</t>
        </is>
      </c>
      <c r="E18" s="2" t="n"/>
      <c r="F18" s="3">
        <f>F4+F10-F13</f>
        <v/>
      </c>
      <c r="G18" s="2" t="inlineStr">
        <is>
          <t>同字段合计</t>
        </is>
      </c>
      <c r="H18" s="2" t="inlineStr">
        <is>
          <t>halfyear_report_2026.pdf；PDF第25页/印刷第24页；衍生品投资表</t>
        </is>
      </c>
      <c r="I18" s="2" t="inlineStr">
        <is>
          <t>0元；-107,182,200+3,362,700=-103,819,500元</t>
        </is>
      </c>
    </row>
    <row r="19" ht="80" customHeight="1">
      <c r="A19" s="2" t="inlineStr">
        <is>
          <t>勾稽/口径</t>
        </is>
      </c>
      <c r="B19" s="2" t="inlineStr">
        <is>
          <t>期末金额合计差额</t>
        </is>
      </c>
      <c r="C19" s="2" t="n"/>
      <c r="D19" s="2" t="inlineStr">
        <is>
          <t>元/比率</t>
        </is>
      </c>
      <c r="E19" s="2" t="n"/>
      <c r="F19" s="3">
        <f>F7+F11-F14</f>
        <v/>
      </c>
      <c r="G19" s="2" t="inlineStr">
        <is>
          <t>存量合计</t>
        </is>
      </c>
      <c r="H19" s="2" t="inlineStr">
        <is>
          <t>halfyear_report_2026.pdf；PDF第25页/印刷第24页；衍生品投资表</t>
        </is>
      </c>
      <c r="I19" s="2" t="inlineStr">
        <is>
          <t>0元；640,418,100+0=640,418,100元</t>
        </is>
      </c>
    </row>
    <row r="20" ht="80" customHeight="1">
      <c r="A20" s="2" t="inlineStr">
        <is>
          <t>勾稽/口径</t>
        </is>
      </c>
      <c r="B20" s="2" t="inlineStr">
        <is>
          <t>简单期初+购入-售出</t>
        </is>
      </c>
      <c r="C20" s="2" t="n"/>
      <c r="D20" s="2" t="inlineStr">
        <is>
          <t>元/比率</t>
        </is>
      </c>
      <c r="E20" s="2" t="n"/>
      <c r="F20" s="3">
        <f>F2+F5-F6</f>
        <v/>
      </c>
      <c r="G20" s="2" t="inlineStr">
        <is>
          <t>机械滚动，不代表会计桥</t>
        </is>
      </c>
      <c r="H20" s="2" t="inlineStr">
        <is>
          <t>halfyear_report_2026.pdf；PDF第25页/印刷第24页；衍生品投资表</t>
        </is>
      </c>
      <c r="I20" s="2" t="inlineStr">
        <is>
          <t>648,615,300元；需期末金额定义及滚动明细</t>
        </is>
      </c>
    </row>
    <row r="21" ht="80" customHeight="1">
      <c r="A21" s="2" t="inlineStr">
        <is>
          <t>勾稽/口径</t>
        </is>
      </c>
      <c r="B21" s="2" t="inlineStr">
        <is>
          <t>期末减简单滚动式差额</t>
        </is>
      </c>
      <c r="C21" s="2" t="n"/>
      <c r="D21" s="2" t="inlineStr">
        <is>
          <t>元/比率</t>
        </is>
      </c>
      <c r="E21" s="2" t="n"/>
      <c r="F21" s="3">
        <f>F7-F20</f>
        <v/>
      </c>
      <c r="G21" s="2" t="inlineStr">
        <is>
          <t>未解释差额</t>
        </is>
      </c>
      <c r="H21" s="2" t="inlineStr">
        <is>
          <t>halfyear_report_2026.pdf；PDF第25页/印刷第24页；衍生品投资表</t>
        </is>
      </c>
      <c r="I21" s="2" t="inlineStr">
        <is>
          <t>-8,197,200元（-819.72万元）；不能以损益或累计权益直接替代解释</t>
        </is>
      </c>
    </row>
    <row r="22" ht="80" customHeight="1">
      <c r="A22" s="2" t="inlineStr">
        <is>
          <t>勾稽/口径</t>
        </is>
      </c>
      <c r="B22" s="2" t="inlineStr">
        <is>
          <t>期末归母净资产</t>
        </is>
      </c>
      <c r="C22" s="2" t="n"/>
      <c r="D22" s="2" t="inlineStr">
        <is>
          <t>元/比率</t>
        </is>
      </c>
      <c r="E22" s="2" t="n"/>
      <c r="F22" s="3" t="n">
        <v>23737652896.58</v>
      </c>
      <c r="G22" s="2" t="inlineStr">
        <is>
          <t>2026-06-30存量</t>
        </is>
      </c>
      <c r="H22" s="2" t="inlineStr">
        <is>
          <t>E02/E03</t>
        </is>
      </c>
      <c r="I22" s="2" t="inlineStr">
        <is>
          <t>合并归母权益，不是母公司单体净资产</t>
        </is>
      </c>
    </row>
    <row r="23" ht="80" customHeight="1">
      <c r="A23" s="2" t="inlineStr">
        <is>
          <t>勾稽/口径</t>
        </is>
      </c>
      <c r="B23" s="2" t="inlineStr">
        <is>
          <t>占比复算</t>
        </is>
      </c>
      <c r="C23" s="2" t="n"/>
      <c r="D23" s="2" t="inlineStr">
        <is>
          <t>元/比率</t>
        </is>
      </c>
      <c r="E23" s="2" t="n"/>
      <c r="F23" s="5">
        <f>F14/F22</f>
        <v/>
      </c>
      <c r="G23" s="2" t="inlineStr">
        <is>
          <t>期末/期末</t>
        </is>
      </c>
      <c r="H23" s="2" t="inlineStr">
        <is>
          <t>E01/E02/E03</t>
        </is>
      </c>
      <c r="I23" s="2" t="inlineStr">
        <is>
          <t>2.697899842%；两位小数2.70%，与期货公司及合计一致</t>
        </is>
      </c>
    </row>
    <row r="24" ht="80" customHeight="1">
      <c r="A24" s="2" t="inlineStr">
        <is>
          <t>勾稽/口径</t>
        </is>
      </c>
      <c r="B24" s="2" t="inlineStr">
        <is>
          <t>两位小数百分比一致性</t>
        </is>
      </c>
      <c r="C24" s="2" t="n"/>
      <c r="D24" s="2" t="inlineStr">
        <is>
          <t>元/比率</t>
        </is>
      </c>
      <c r="E24" s="2" t="n"/>
      <c r="F24" s="4">
        <f>ROUND(F23*100,2)/100-F15</f>
        <v/>
      </c>
      <c r="G24" s="2" t="inlineStr">
        <is>
          <t>披露精度检验</t>
        </is>
      </c>
      <c r="H24" s="2" t="inlineStr">
        <is>
          <t>E01/E02</t>
        </is>
      </c>
      <c r="I24" s="2" t="inlineStr">
        <is>
          <t>0；银行0元对应0.00%</t>
        </is>
      </c>
    </row>
    <row r="25" ht="80" customHeight="1">
      <c r="A25" s="2" t="inlineStr">
        <is>
          <t>勾稽/口径</t>
        </is>
      </c>
      <c r="B25" s="2" t="inlineStr">
        <is>
          <t>合并所有者权益合计</t>
        </is>
      </c>
      <c r="C25" s="2" t="n"/>
      <c r="D25" s="2" t="inlineStr">
        <is>
          <t>元/比率</t>
        </is>
      </c>
      <c r="E25" s="2" t="n"/>
      <c r="F25" s="3" t="n">
        <v>25092817803.58</v>
      </c>
      <c r="G25" s="2" t="inlineStr">
        <is>
          <t>2026-06-30存量</t>
        </is>
      </c>
      <c r="H25" s="2" t="inlineStr">
        <is>
          <t>E03</t>
        </is>
      </c>
      <c r="I25" s="2" t="inlineStr">
        <is>
          <t>含少数股东权益</t>
        </is>
      </c>
    </row>
    <row r="26" ht="80" customHeight="1">
      <c r="A26" s="2" t="inlineStr">
        <is>
          <t>勾稽/口径</t>
        </is>
      </c>
      <c r="B26" s="2" t="inlineStr">
        <is>
          <t>含少数股东权益分母复算</t>
        </is>
      </c>
      <c r="C26" s="2" t="n"/>
      <c r="D26" s="2" t="inlineStr">
        <is>
          <t>元/比率</t>
        </is>
      </c>
      <c r="E26" s="2" t="n"/>
      <c r="F26" s="5">
        <f>F14/F25</f>
        <v/>
      </c>
      <c r="G26" s="2" t="inlineStr">
        <is>
          <t>口径对照</t>
        </is>
      </c>
      <c r="H26" s="2" t="inlineStr">
        <is>
          <t>E01/E03</t>
        </is>
      </c>
      <c r="I26" s="2" t="inlineStr">
        <is>
          <t>2.552196828%（2.55%），不能复现2.70%；归母分母可复现</t>
        </is>
      </c>
    </row>
  </sheetData>
  <autoFilter ref="A1:I26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zoomScale="8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75" customWidth="1" min="2" max="2"/>
    <col width="40" customWidth="1" min="3" max="3"/>
    <col width="60" customWidth="1" min="4" max="4"/>
    <col width="70" customWidth="1" min="5" max="5"/>
  </cols>
  <sheetData>
    <row r="1">
      <c r="A1" s="1" t="inlineStr">
        <is>
          <t>事项</t>
        </is>
      </c>
      <c r="B1" s="1" t="inlineStr">
        <is>
          <t>条款/事实</t>
        </is>
      </c>
      <c r="C1" s="1" t="inlineStr">
        <is>
          <t>人民币元/期间</t>
        </is>
      </c>
      <c r="D1" s="1" t="inlineStr">
        <is>
          <t>来源与定位</t>
        </is>
      </c>
      <c r="E1" s="1" t="inlineStr">
        <is>
          <t>判断与补件</t>
        </is>
      </c>
    </row>
  </sheetData>
  <autoFilter ref="A1:E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48" customWidth="1" min="2" max="2"/>
    <col width="60" customWidth="1" min="3" max="3"/>
    <col width="70" customWidth="1" min="4" max="4"/>
    <col width="75" customWidth="1" min="5" max="5"/>
    <col width="18" customWidth="1" min="6" max="6"/>
  </cols>
  <sheetData>
    <row r="1">
      <c r="A1" s="1" t="inlineStr">
        <is>
          <t>编号</t>
        </is>
      </c>
      <c r="B1" s="1" t="inlineStr">
        <is>
          <t>文件/记录类别</t>
        </is>
      </c>
      <c r="C1" s="1" t="inlineStr">
        <is>
          <t>页码/条款/表项</t>
        </is>
      </c>
      <c r="D1" s="1" t="inlineStr">
        <is>
          <t>证据/缺口</t>
        </is>
      </c>
      <c r="E1" s="1" t="inlineStr">
        <is>
          <t>影响与所需动作</t>
        </is>
      </c>
      <c r="F1" s="1" t="inlineStr">
        <is>
          <t>状态</t>
        </is>
      </c>
    </row>
    <row r="2" ht="80" customHeight="1">
      <c r="A2" s="2" t="inlineStr">
        <is>
          <t>E01</t>
        </is>
      </c>
      <c r="B2" s="2" t="inlineStr">
        <is>
          <t>halfyear_report_2026.pdf</t>
        </is>
      </c>
      <c r="C2" s="2" t="inlineStr">
        <is>
          <t>PDF第25页/印刷第24页；衍生品投资表、实际损益段</t>
        </is>
      </c>
      <c r="D2" s="2" t="inlineStr">
        <is>
          <t>金额、占比及期现相抵2.9亿元</t>
        </is>
      </c>
      <c r="E2" s="2" t="inlineStr">
        <is>
          <t>公开披露依据；非逐笔验证</t>
        </is>
      </c>
      <c r="F2" s="2" t="inlineStr">
        <is>
          <t>已取得</t>
        </is>
      </c>
    </row>
    <row r="3" ht="80" customHeight="1">
      <c r="A3" s="2" t="inlineStr">
        <is>
          <t>E02</t>
        </is>
      </c>
      <c r="B3" s="2" t="inlineStr">
        <is>
          <t>halfyear_report_2026.pdf</t>
        </is>
      </c>
      <c r="C3" s="2" t="inlineStr">
        <is>
          <t>PDF第12页/印刷第11页；主要会计数据</t>
        </is>
      </c>
      <c r="D3" s="2" t="inlineStr">
        <is>
          <t>归母净资产23,737,652,896.58元</t>
        </is>
      </c>
      <c r="E3" s="2" t="inlineStr">
        <is>
          <t>占比分母验证</t>
        </is>
      </c>
      <c r="F3" s="2" t="inlineStr">
        <is>
          <t>已取得</t>
        </is>
      </c>
    </row>
    <row r="4" ht="80" customHeight="1">
      <c r="A4" s="2" t="inlineStr">
        <is>
          <t>E03</t>
        </is>
      </c>
      <c r="B4" s="2" t="inlineStr">
        <is>
          <t>halfyear_report_2026.pdf</t>
        </is>
      </c>
      <c r="C4" s="2" t="inlineStr">
        <is>
          <t>PDF第59页/印刷第58页；合并资产负债表</t>
        </is>
      </c>
      <c r="D4" s="2" t="inlineStr">
        <is>
          <t>归母权益及总权益25,092,817,803.58元</t>
        </is>
      </c>
      <c r="E4" s="2" t="inlineStr">
        <is>
          <t>区分归母与含少数股东口径</t>
        </is>
      </c>
      <c r="F4" s="2" t="inlineStr">
        <is>
          <t>已取得</t>
        </is>
      </c>
    </row>
    <row r="5" ht="80" customHeight="1">
      <c r="A5" s="2" t="inlineStr">
        <is>
          <t>E04</t>
        </is>
      </c>
      <c r="B5" s="2" t="inlineStr">
        <is>
          <t>2025_authorization_announcement.pdf</t>
        </is>
      </c>
      <c r="C5" s="2" t="inlineStr">
        <is>
          <t>第1–2页；开篇、二（一）（二）</t>
        </is>
      </c>
      <c r="D5" s="2" t="inlineStr">
        <is>
          <t>商品保证金40亿元；外汇47亿元；通过日起12个月</t>
        </is>
      </c>
      <c r="E5" s="2" t="inlineStr">
        <is>
          <t>授权额度与计量定义</t>
        </is>
      </c>
      <c r="F5" s="2" t="inlineStr">
        <is>
          <t>已取得</t>
        </is>
      </c>
    </row>
    <row r="6" ht="80" customHeight="1">
      <c r="A6" s="2" t="inlineStr">
        <is>
          <t>E05</t>
        </is>
      </c>
      <c r="B6" s="2" t="inlineStr">
        <is>
          <t>2025_authorization_resolution.pdf</t>
        </is>
      </c>
      <c r="C6" s="2" t="inlineStr">
        <is>
          <t>第1页会议日；第3–4页议案5</t>
        </is>
      </c>
      <c r="D6" s="2" t="inlineStr">
        <is>
          <t>2025-08-14实际通过，2025-08-15公告</t>
        </is>
      </c>
      <c r="E6" s="2" t="inlineStr">
        <is>
          <t>通过日不等于公告日</t>
        </is>
      </c>
      <c r="F6" s="2" t="inlineStr">
        <is>
          <t>已取得</t>
        </is>
      </c>
    </row>
    <row r="7" ht="80" customHeight="1">
      <c r="A7" s="2" t="inlineStr">
        <is>
          <t>E06</t>
        </is>
      </c>
      <c r="B7" s="2" t="inlineStr">
        <is>
          <t>hedge_policy.pdf</t>
        </is>
      </c>
      <c r="C7" s="2" t="inlineStr">
        <is>
          <t>第1页第二条；第3页第十条；第3–4页第十三、十四条；第7页第三十条</t>
        </is>
      </c>
      <c r="D7" s="2" t="inlineStr">
        <is>
          <t>适用范围、额度、方案止损及损失披露</t>
        </is>
      </c>
      <c r="E7" s="2" t="inlineStr">
        <is>
          <t>制度落款2025-07-25；执行证据待补</t>
        </is>
      </c>
      <c r="F7" s="2" t="inlineStr">
        <is>
          <t>已取得</t>
        </is>
      </c>
    </row>
  </sheetData>
  <autoFilter ref="A1:F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2026-10-13T18:02:15Z</dcterms:created>
  <dcterms:modified xmlns:dcterms="http://purl.org/dc/terms/" xmlns:xsi="http://www.w3.org/2001/XMLSchema-instance" xsi:type="dcterms:W3CDTF">2026-10-13T18:02:15Z</dcterms:modified>
</cp:coreProperties>
</file>
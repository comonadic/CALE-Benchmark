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披露复核" sheetId="1" state="visible" r:id="rId2"/>
    <sheet name="授权与条款" sheetId="2" state="visible" r:id="rId3"/>
    <sheet name="证据及缺口" sheetId="3" state="visible" r:id="rId4"/>
  </sheets>
  <definedNames>
    <definedName function="false" hidden="false" localSheetId="0" name="_xlnm.Print_Titles" vbProcedure="false">披露复核!$1:$1</definedName>
    <definedName function="false" hidden="true" localSheetId="0" name="_xlnm._FilterDatabase" vbProcedure="false">披露复核!$A$1:$I$26</definedName>
    <definedName function="false" hidden="false" localSheetId="1" name="_xlnm.Print_Titles" vbProcedure="false">授权与条款!$1:$1</definedName>
    <definedName function="false" hidden="true" localSheetId="1" name="_xlnm._FilterDatabase" vbProcedure="false">授权与条款!$A$1:$E$12</definedName>
    <definedName function="false" hidden="false" localSheetId="2" name="_xlnm.Print_Titles" vbProcedure="false">证据及缺口!$1:$1</definedName>
    <definedName function="false" hidden="true" localSheetId="2" name="_xlnm._FilterDatabase" vbProcedure="false">证据及缺口!$A$1:$F$16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<sst xmlns="http://schemas.openxmlformats.org/spreadsheetml/2006/main" count="315" uniqueCount="212">
  <si>
    <t xml:space="preserve">主体/项目</t>
  </si>
  <si>
    <t xml:space="preserve">披露字段</t>
  </si>
  <si>
    <t xml:space="preserve">原披露数值</t>
  </si>
  <si>
    <t xml:space="preserve">原单位</t>
  </si>
  <si>
    <t xml:space="preserve">换算系数</t>
  </si>
  <si>
    <t xml:space="preserve">人民币元/比例（公式）</t>
  </si>
  <si>
    <t xml:space="preserve">时点/期间属性</t>
  </si>
  <si>
    <t xml:space="preserve">来源与定位</t>
  </si>
  <si>
    <t xml:space="preserve">复核结论/边界</t>
  </si>
  <si>
    <t xml:space="preserve">期货公司</t>
  </si>
  <si>
    <t xml:space="preserve">期初金额</t>
  </si>
  <si>
    <t xml:space="preserve">万元</t>
  </si>
  <si>
    <r>
      <rPr>
        <sz val="11"/>
        <rFont val="等线"/>
        <family val="0"/>
        <charset val="1"/>
      </rPr>
      <t xml:space="preserve">2026-01-01</t>
    </r>
    <r>
      <rPr>
        <sz val="11"/>
        <rFont val="Noto Sans CJK SC"/>
        <family val="2"/>
      </rPr>
      <t xml:space="preserve">存量</t>
    </r>
  </si>
  <si>
    <r>
      <rPr>
        <sz val="11"/>
        <rFont val="等线"/>
        <family val="0"/>
        <charset val="1"/>
      </rPr>
      <t xml:space="preserve">halfyear_report_2026.pdf</t>
    </r>
    <r>
      <rPr>
        <sz val="11"/>
        <rFont val="Noto Sans CJK SC"/>
        <family val="2"/>
      </rPr>
      <t xml:space="preserve">；</t>
    </r>
    <r>
      <rPr>
        <sz val="11"/>
        <rFont val="等线"/>
        <family val="0"/>
        <charset val="1"/>
      </rPr>
      <t xml:space="preserve">PDF</t>
    </r>
    <r>
      <rPr>
        <sz val="11"/>
        <rFont val="Noto Sans CJK SC"/>
        <family val="2"/>
      </rPr>
      <t xml:space="preserve">第</t>
    </r>
    <r>
      <rPr>
        <sz val="11"/>
        <rFont val="等线"/>
        <family val="0"/>
        <charset val="1"/>
      </rPr>
      <t xml:space="preserve">25</t>
    </r>
    <r>
      <rPr>
        <sz val="11"/>
        <rFont val="Noto Sans CJK SC"/>
        <family val="2"/>
      </rPr>
      <t xml:space="preserve">页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印刷第</t>
    </r>
    <r>
      <rPr>
        <sz val="11"/>
        <rFont val="等线"/>
        <family val="0"/>
        <charset val="1"/>
      </rPr>
      <t xml:space="preserve">24</t>
    </r>
    <r>
      <rPr>
        <sz val="11"/>
        <rFont val="Noto Sans CJK SC"/>
        <family val="2"/>
      </rPr>
      <t xml:space="preserve">页；衍生品投资表</t>
    </r>
  </si>
  <si>
    <t xml:space="preserve">按原字段保留；不得与其他字段替代</t>
  </si>
  <si>
    <t xml:space="preserve">当期公允价值变动损益</t>
  </si>
  <si>
    <r>
      <rPr>
        <sz val="11"/>
        <rFont val="等线"/>
        <family val="0"/>
        <charset val="1"/>
      </rPr>
      <t xml:space="preserve">2026H1</t>
    </r>
    <r>
      <rPr>
        <sz val="11"/>
        <rFont val="Noto Sans CJK SC"/>
        <family val="2"/>
      </rPr>
      <t xml:space="preserve">期间变动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损益流量</t>
    </r>
  </si>
  <si>
    <t xml:space="preserve">计入权益累计公允价值变动</t>
  </si>
  <si>
    <t xml:space="preserve">截至期末累计权益金额；非本期损益</t>
  </si>
  <si>
    <t xml:space="preserve">报告期购入金额</t>
  </si>
  <si>
    <r>
      <rPr>
        <sz val="11"/>
        <rFont val="等线"/>
        <family val="0"/>
        <charset val="1"/>
      </rPr>
      <t xml:space="preserve">2026H1</t>
    </r>
    <r>
      <rPr>
        <sz val="11"/>
        <rFont val="Noto Sans CJK SC"/>
        <family val="2"/>
      </rPr>
      <t xml:space="preserve">期间交易流量</t>
    </r>
  </si>
  <si>
    <t xml:space="preserve">报告期售出金额</t>
  </si>
  <si>
    <t xml:space="preserve">期末金额</t>
  </si>
  <si>
    <r>
      <rPr>
        <sz val="11"/>
        <rFont val="等线"/>
        <family val="0"/>
        <charset val="1"/>
      </rPr>
      <t xml:space="preserve">2026-06-30</t>
    </r>
    <r>
      <rPr>
        <sz val="11"/>
        <rFont val="Noto Sans CJK SC"/>
        <family val="2"/>
      </rPr>
      <t xml:space="preserve">期末存量；非期间损益</t>
    </r>
  </si>
  <si>
    <t xml:space="preserve">期末净资产占比</t>
  </si>
  <si>
    <t xml:space="preserve">比例</t>
  </si>
  <si>
    <r>
      <rPr>
        <sz val="11"/>
        <rFont val="等线"/>
        <family val="0"/>
        <charset val="1"/>
      </rPr>
      <t xml:space="preserve">2026-06-30</t>
    </r>
    <r>
      <rPr>
        <sz val="11"/>
        <rFont val="Noto Sans CJK SC"/>
        <family val="2"/>
      </rPr>
      <t xml:space="preserve">存量比例</t>
    </r>
  </si>
  <si>
    <t xml:space="preserve">商业银行</t>
  </si>
  <si>
    <r>
      <rPr>
        <sz val="11"/>
        <rFont val="等线"/>
        <family val="0"/>
        <charset val="1"/>
      </rPr>
      <t xml:space="preserve">2026-06-30</t>
    </r>
    <r>
      <rPr>
        <sz val="11"/>
        <rFont val="Noto Sans CJK SC"/>
        <family val="2"/>
      </rPr>
      <t xml:space="preserve">期末存量</t>
    </r>
  </si>
  <si>
    <t xml:space="preserve">合计</t>
  </si>
  <si>
    <r>
      <rPr>
        <sz val="11"/>
        <rFont val="等线"/>
        <family val="0"/>
        <charset val="1"/>
      </rPr>
      <t xml:space="preserve">2026-06-30</t>
    </r>
    <r>
      <rPr>
        <sz val="11"/>
        <rFont val="Noto Sans CJK SC"/>
        <family val="2"/>
      </rPr>
      <t xml:space="preserve">期末存量；非保证金余额</t>
    </r>
  </si>
  <si>
    <t xml:space="preserve">商品及外汇合计</t>
  </si>
  <si>
    <t xml:space="preserve">期现相抵实际损益</t>
  </si>
  <si>
    <t xml:space="preserve">亿元</t>
  </si>
  <si>
    <r>
      <rPr>
        <sz val="11"/>
        <rFont val="等线"/>
        <family val="0"/>
        <charset val="1"/>
      </rPr>
      <t xml:space="preserve">2026H1</t>
    </r>
    <r>
      <rPr>
        <sz val="11"/>
        <rFont val="Noto Sans CJK SC"/>
        <family val="2"/>
      </rPr>
      <t xml:space="preserve">披露期间实际损益；约数</t>
    </r>
  </si>
  <si>
    <r>
      <rPr>
        <sz val="11"/>
        <rFont val="等线"/>
        <family val="0"/>
        <charset val="1"/>
      </rPr>
      <t xml:space="preserve">halfyear_report_2026.pdf</t>
    </r>
    <r>
      <rPr>
        <sz val="11"/>
        <rFont val="Noto Sans CJK SC"/>
        <family val="2"/>
      </rPr>
      <t xml:space="preserve">；</t>
    </r>
    <r>
      <rPr>
        <sz val="11"/>
        <rFont val="等线"/>
        <family val="0"/>
        <charset val="1"/>
      </rPr>
      <t xml:space="preserve">PDF</t>
    </r>
    <r>
      <rPr>
        <sz val="11"/>
        <rFont val="Noto Sans CJK SC"/>
        <family val="2"/>
      </rPr>
      <t xml:space="preserve">第</t>
    </r>
    <r>
      <rPr>
        <sz val="11"/>
        <rFont val="等线"/>
        <family val="0"/>
        <charset val="1"/>
      </rPr>
      <t xml:space="preserve">25</t>
    </r>
    <r>
      <rPr>
        <sz val="11"/>
        <rFont val="Noto Sans CJK SC"/>
        <family val="2"/>
      </rPr>
      <t xml:space="preserve">页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印刷第</t>
    </r>
    <r>
      <rPr>
        <sz val="11"/>
        <rFont val="等线"/>
        <family val="0"/>
        <charset val="1"/>
      </rPr>
      <t xml:space="preserve">24</t>
    </r>
    <r>
      <rPr>
        <sz val="11"/>
        <rFont val="Noto Sans CJK SC"/>
        <family val="2"/>
      </rPr>
      <t xml:space="preserve">页；衍生品投资表；报告期实际损益说明</t>
    </r>
  </si>
  <si>
    <r>
      <rPr>
        <sz val="11"/>
        <rFont val="等线"/>
        <family val="0"/>
        <charset val="1"/>
      </rPr>
      <t xml:space="preserve">2.9</t>
    </r>
    <r>
      <rPr>
        <sz val="11"/>
        <rFont val="Noto Sans CJK SC"/>
        <family val="2"/>
      </rPr>
      <t xml:space="preserve">亿元</t>
    </r>
    <r>
      <rPr>
        <sz val="11"/>
        <rFont val="等线"/>
        <family val="0"/>
        <charset val="1"/>
      </rPr>
      <t xml:space="preserve">=29,000</t>
    </r>
    <r>
      <rPr>
        <sz val="11"/>
        <rFont val="Noto Sans CJK SC"/>
        <family val="2"/>
      </rPr>
      <t xml:space="preserve">万元</t>
    </r>
    <r>
      <rPr>
        <sz val="11"/>
        <rFont val="等线"/>
        <family val="0"/>
        <charset val="1"/>
      </rPr>
      <t xml:space="preserve">=290,000,000</t>
    </r>
    <r>
      <rPr>
        <sz val="11"/>
        <rFont val="Noto Sans CJK SC"/>
        <family val="2"/>
      </rPr>
      <t xml:space="preserve">元；仅披露值，不可由现有逐笔数据重算；不是衍生品单独损益</t>
    </r>
  </si>
  <si>
    <t xml:space="preserve">勾稽/口径</t>
  </si>
  <si>
    <t xml:space="preserve">公允价值变动合计差额</t>
  </si>
  <si>
    <t xml:space="preserve">元/比率</t>
  </si>
  <si>
    <t xml:space="preserve">同字段合计</t>
  </si>
  <si>
    <r>
      <rPr>
        <sz val="11"/>
        <rFont val="等线"/>
        <family val="0"/>
        <charset val="1"/>
      </rPr>
      <t xml:space="preserve">0</t>
    </r>
    <r>
      <rPr>
        <sz val="11"/>
        <rFont val="Noto Sans CJK SC"/>
        <family val="2"/>
      </rPr>
      <t xml:space="preserve">元；</t>
    </r>
    <r>
      <rPr>
        <sz val="11"/>
        <rFont val="等线"/>
        <family val="0"/>
        <charset val="1"/>
      </rPr>
      <t xml:space="preserve">-46,395,800-6,080,100=-52,475,900</t>
    </r>
    <r>
      <rPr>
        <sz val="11"/>
        <rFont val="Noto Sans CJK SC"/>
        <family val="2"/>
      </rPr>
      <t xml:space="preserve">元</t>
    </r>
  </si>
  <si>
    <t xml:space="preserve">累计权益变动合计差额</t>
  </si>
  <si>
    <r>
      <rPr>
        <sz val="11"/>
        <rFont val="等线"/>
        <family val="0"/>
        <charset val="1"/>
      </rPr>
      <t xml:space="preserve">0</t>
    </r>
    <r>
      <rPr>
        <sz val="11"/>
        <rFont val="Noto Sans CJK SC"/>
        <family val="2"/>
      </rPr>
      <t xml:space="preserve">元；</t>
    </r>
    <r>
      <rPr>
        <sz val="11"/>
        <rFont val="等线"/>
        <family val="0"/>
        <charset val="1"/>
      </rPr>
      <t xml:space="preserve">-107,182,200+3,362,700=-103,819,500</t>
    </r>
    <r>
      <rPr>
        <sz val="11"/>
        <rFont val="Noto Sans CJK SC"/>
        <family val="2"/>
      </rPr>
      <t xml:space="preserve">元</t>
    </r>
  </si>
  <si>
    <t xml:space="preserve">期末金额合计差额</t>
  </si>
  <si>
    <t xml:space="preserve">存量合计</t>
  </si>
  <si>
    <r>
      <rPr>
        <sz val="11"/>
        <rFont val="等线"/>
        <family val="0"/>
        <charset val="1"/>
      </rPr>
      <t xml:space="preserve">0</t>
    </r>
    <r>
      <rPr>
        <sz val="11"/>
        <rFont val="Noto Sans CJK SC"/>
        <family val="2"/>
      </rPr>
      <t xml:space="preserve">元；</t>
    </r>
    <r>
      <rPr>
        <sz val="11"/>
        <rFont val="等线"/>
        <family val="0"/>
        <charset val="1"/>
      </rPr>
      <t xml:space="preserve">640,418,100+0=640,418,100</t>
    </r>
    <r>
      <rPr>
        <sz val="11"/>
        <rFont val="Noto Sans CJK SC"/>
        <family val="2"/>
      </rPr>
      <t xml:space="preserve">元</t>
    </r>
  </si>
  <si>
    <t xml:space="preserve">简单期初+购入-售出</t>
  </si>
  <si>
    <t xml:space="preserve">机械滚动，不代表会计桥</t>
  </si>
  <si>
    <r>
      <rPr>
        <sz val="11"/>
        <rFont val="等线"/>
        <family val="0"/>
        <charset val="1"/>
      </rPr>
      <t xml:space="preserve">648,615,300</t>
    </r>
    <r>
      <rPr>
        <sz val="11"/>
        <rFont val="Noto Sans CJK SC"/>
        <family val="2"/>
      </rPr>
      <t xml:space="preserve">元；需期末金额定义及滚动明细</t>
    </r>
  </si>
  <si>
    <t xml:space="preserve">期末减简单滚动式差额</t>
  </si>
  <si>
    <t xml:space="preserve">未解释差额</t>
  </si>
  <si>
    <r>
      <rPr>
        <sz val="11"/>
        <rFont val="等线"/>
        <family val="0"/>
        <charset val="1"/>
      </rPr>
      <t xml:space="preserve">-8,197,200</t>
    </r>
    <r>
      <rPr>
        <sz val="11"/>
        <rFont val="Noto Sans CJK SC"/>
        <family val="2"/>
      </rPr>
      <t xml:space="preserve">元（</t>
    </r>
    <r>
      <rPr>
        <sz val="11"/>
        <rFont val="等线"/>
        <family val="0"/>
        <charset val="1"/>
      </rPr>
      <t xml:space="preserve">-819.72</t>
    </r>
    <r>
      <rPr>
        <sz val="11"/>
        <rFont val="Noto Sans CJK SC"/>
        <family val="2"/>
      </rPr>
      <t xml:space="preserve">万元）；不能以损益或累计权益直接替代解释</t>
    </r>
  </si>
  <si>
    <t xml:space="preserve">期末归母净资产</t>
  </si>
  <si>
    <r>
      <rPr>
        <sz val="11"/>
        <rFont val="等线"/>
        <family val="0"/>
        <charset val="1"/>
      </rPr>
      <t xml:space="preserve">2026-06-30</t>
    </r>
    <r>
      <rPr>
        <sz val="11"/>
        <rFont val="Noto Sans CJK SC"/>
        <family val="2"/>
      </rPr>
      <t xml:space="preserve">存量</t>
    </r>
  </si>
  <si>
    <t xml:space="preserve">E02/E03</t>
  </si>
  <si>
    <t xml:space="preserve">合并归母权益，不是母公司单体净资产</t>
  </si>
  <si>
    <t xml:space="preserve">占比复算</t>
  </si>
  <si>
    <t xml:space="preserve">期末/期末</t>
  </si>
  <si>
    <t xml:space="preserve">E01/E02/E03</t>
  </si>
  <si>
    <r>
      <rPr>
        <sz val="11"/>
        <rFont val="等线"/>
        <family val="0"/>
        <charset val="1"/>
      </rPr>
      <t xml:space="preserve">2.697899842%</t>
    </r>
    <r>
      <rPr>
        <sz val="11"/>
        <rFont val="Noto Sans CJK SC"/>
        <family val="2"/>
      </rPr>
      <t xml:space="preserve">；两位小数</t>
    </r>
    <r>
      <rPr>
        <sz val="11"/>
        <rFont val="等线"/>
        <family val="0"/>
        <charset val="1"/>
      </rPr>
      <t xml:space="preserve">2.70%</t>
    </r>
    <r>
      <rPr>
        <sz val="11"/>
        <rFont val="Noto Sans CJK SC"/>
        <family val="2"/>
      </rPr>
      <t xml:space="preserve">，与期货公司及合计一致</t>
    </r>
  </si>
  <si>
    <t xml:space="preserve">两位小数百分比一致性</t>
  </si>
  <si>
    <t xml:space="preserve">披露精度检验</t>
  </si>
  <si>
    <t xml:space="preserve">E01/E02</t>
  </si>
  <si>
    <r>
      <rPr>
        <sz val="11"/>
        <rFont val="等线"/>
        <family val="0"/>
        <charset val="1"/>
      </rPr>
      <t xml:space="preserve">0</t>
    </r>
    <r>
      <rPr>
        <sz val="11"/>
        <rFont val="Noto Sans CJK SC"/>
        <family val="2"/>
      </rPr>
      <t xml:space="preserve">；银行</t>
    </r>
    <r>
      <rPr>
        <sz val="11"/>
        <rFont val="等线"/>
        <family val="0"/>
        <charset val="1"/>
      </rPr>
      <t xml:space="preserve">0</t>
    </r>
    <r>
      <rPr>
        <sz val="11"/>
        <rFont val="Noto Sans CJK SC"/>
        <family val="2"/>
      </rPr>
      <t xml:space="preserve">元对应</t>
    </r>
    <r>
      <rPr>
        <sz val="11"/>
        <rFont val="等线"/>
        <family val="0"/>
        <charset val="1"/>
      </rPr>
      <t xml:space="preserve">0.00%</t>
    </r>
  </si>
  <si>
    <t xml:space="preserve">合并所有者权益合计</t>
  </si>
  <si>
    <t xml:space="preserve">E03</t>
  </si>
  <si>
    <t xml:space="preserve">含少数股东权益</t>
  </si>
  <si>
    <t xml:space="preserve">含少数股东权益分母复算</t>
  </si>
  <si>
    <t xml:space="preserve">口径对照</t>
  </si>
  <si>
    <t xml:space="preserve">E01/E03</t>
  </si>
  <si>
    <r>
      <rPr>
        <sz val="11"/>
        <rFont val="等线"/>
        <family val="0"/>
        <charset val="1"/>
      </rPr>
      <t xml:space="preserve">2.552196828%</t>
    </r>
    <r>
      <rPr>
        <sz val="11"/>
        <rFont val="Noto Sans CJK SC"/>
        <family val="2"/>
      </rPr>
      <t xml:space="preserve">（</t>
    </r>
    <r>
      <rPr>
        <sz val="11"/>
        <rFont val="等线"/>
        <family val="0"/>
        <charset val="1"/>
      </rPr>
      <t xml:space="preserve">2.55%</t>
    </r>
    <r>
      <rPr>
        <sz val="11"/>
        <rFont val="Noto Sans CJK SC"/>
        <family val="2"/>
      </rPr>
      <t xml:space="preserve">），不能复现</t>
    </r>
    <r>
      <rPr>
        <sz val="11"/>
        <rFont val="等线"/>
        <family val="0"/>
        <charset val="1"/>
      </rPr>
      <t xml:space="preserve">2.70%</t>
    </r>
    <r>
      <rPr>
        <sz val="11"/>
        <rFont val="Noto Sans CJK SC"/>
        <family val="2"/>
      </rPr>
      <t xml:space="preserve">；归母分母可复现</t>
    </r>
  </si>
  <si>
    <t xml:space="preserve">事项</t>
  </si>
  <si>
    <t xml:space="preserve">条款/事实</t>
  </si>
  <si>
    <t xml:space="preserve">人民币元/期间</t>
  </si>
  <si>
    <t xml:space="preserve">判断与补件</t>
  </si>
  <si>
    <t xml:space="preserve">期间及主体</t>
  </si>
  <si>
    <r>
      <rPr>
        <sz val="11"/>
        <rFont val="等线"/>
        <family val="0"/>
        <charset val="1"/>
      </rPr>
      <t xml:space="preserve">2026-01-01</t>
    </r>
    <r>
      <rPr>
        <sz val="11"/>
        <rFont val="Noto Sans CJK SC"/>
        <family val="2"/>
      </rPr>
      <t xml:space="preserve">至</t>
    </r>
    <r>
      <rPr>
        <sz val="11"/>
        <rFont val="等线"/>
        <family val="0"/>
        <charset val="1"/>
      </rPr>
      <t xml:space="preserve">2026-06-30</t>
    </r>
    <r>
      <rPr>
        <sz val="11"/>
        <rFont val="Noto Sans CJK SC"/>
        <family val="2"/>
      </rPr>
      <t xml:space="preserve">；合并披露。商品账户统一管理，期货主体与现货子公司未能一一对应</t>
    </r>
  </si>
  <si>
    <t xml:space="preserve">合并层面</t>
  </si>
  <si>
    <t xml:space="preserve">半年报PDF第10页/印刷第9页释义；2025公告第4–5页六（二）</t>
  </si>
  <si>
    <t xml:space="preserve">不下沉为逐笔有效性结论；银行期末0不表示期间未发生业务</t>
  </si>
  <si>
    <r>
      <rPr>
        <sz val="11"/>
        <rFont val="等线"/>
        <family val="0"/>
        <charset val="1"/>
      </rPr>
      <t xml:space="preserve">2025</t>
    </r>
    <r>
      <rPr>
        <sz val="11"/>
        <rFont val="Noto Sans CJK SC"/>
        <family val="2"/>
      </rPr>
      <t xml:space="preserve">实际通过日</t>
    </r>
  </si>
  <si>
    <r>
      <rPr>
        <sz val="11"/>
        <rFont val="等线"/>
        <family val="0"/>
        <charset val="1"/>
      </rPr>
      <t xml:space="preserve">2025-08-14</t>
    </r>
    <r>
      <rPr>
        <sz val="11"/>
        <rFont val="Noto Sans CJK SC"/>
        <family val="2"/>
      </rPr>
      <t xml:space="preserve">股东会召开、议案</t>
    </r>
    <r>
      <rPr>
        <sz val="11"/>
        <rFont val="等线"/>
        <family val="0"/>
        <charset val="1"/>
      </rPr>
      <t xml:space="preserve">5</t>
    </r>
    <r>
      <rPr>
        <sz val="11"/>
        <rFont val="Noto Sans CJK SC"/>
        <family val="2"/>
      </rPr>
      <t xml:space="preserve">通过；</t>
    </r>
    <r>
      <rPr>
        <sz val="11"/>
        <rFont val="等线"/>
        <family val="0"/>
        <charset val="1"/>
      </rPr>
      <t xml:space="preserve">2025-08-15</t>
    </r>
    <r>
      <rPr>
        <sz val="11"/>
        <rFont val="Noto Sans CJK SC"/>
        <family val="2"/>
      </rPr>
      <t xml:space="preserve">是公告日</t>
    </r>
  </si>
  <si>
    <t xml:space="preserve">2025-08-14</t>
  </si>
  <si>
    <r>
      <rPr>
        <sz val="11"/>
        <rFont val="等线"/>
        <family val="0"/>
        <charset val="1"/>
      </rPr>
      <t xml:space="preserve">2025</t>
    </r>
    <r>
      <rPr>
        <sz val="11"/>
        <rFont val="Noto Sans CJK SC"/>
        <family val="2"/>
      </rPr>
      <t xml:space="preserve">决议第</t>
    </r>
    <r>
      <rPr>
        <sz val="11"/>
        <rFont val="等线"/>
        <family val="0"/>
        <charset val="1"/>
      </rPr>
      <t xml:space="preserve">1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3–4</t>
    </r>
    <r>
      <rPr>
        <sz val="11"/>
        <rFont val="Noto Sans CJK SC"/>
        <family val="2"/>
      </rPr>
      <t xml:space="preserve">页；半年报</t>
    </r>
    <r>
      <rPr>
        <sz val="11"/>
        <rFont val="等线"/>
        <family val="0"/>
        <charset val="1"/>
      </rPr>
      <t xml:space="preserve">PDF</t>
    </r>
    <r>
      <rPr>
        <sz val="11"/>
        <rFont val="Noto Sans CJK SC"/>
        <family val="2"/>
      </rPr>
      <t xml:space="preserve">第</t>
    </r>
    <r>
      <rPr>
        <sz val="11"/>
        <rFont val="等线"/>
        <family val="0"/>
        <charset val="1"/>
      </rPr>
      <t xml:space="preserve">26</t>
    </r>
    <r>
      <rPr>
        <sz val="11"/>
        <rFont val="Noto Sans CJK SC"/>
        <family val="2"/>
      </rPr>
      <t xml:space="preserve">页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印刷第</t>
    </r>
    <r>
      <rPr>
        <sz val="11"/>
        <rFont val="等线"/>
        <family val="0"/>
        <charset val="1"/>
      </rPr>
      <t xml:space="preserve">25</t>
    </r>
    <r>
      <rPr>
        <sz val="11"/>
        <rFont val="Noto Sans CJK SC"/>
        <family val="2"/>
      </rPr>
      <t xml:space="preserve">页审批公告日期</t>
    </r>
  </si>
  <si>
    <t xml:space="preserve">以实际通过日起算，不以公告日或董事会日代替</t>
  </si>
  <si>
    <r>
      <rPr>
        <sz val="11"/>
        <rFont val="等线"/>
        <family val="0"/>
        <charset val="1"/>
      </rPr>
      <t xml:space="preserve">2025</t>
    </r>
    <r>
      <rPr>
        <sz val="11"/>
        <rFont val="Noto Sans CJK SC"/>
        <family val="2"/>
      </rPr>
      <t xml:space="preserve">授权期限</t>
    </r>
  </si>
  <si>
    <t xml:space="preserve">通过日起12个月；本次生效后以前额度自动失效</t>
  </si>
  <si>
    <r>
      <rPr>
        <sz val="11"/>
        <rFont val="等线"/>
        <family val="0"/>
        <charset val="1"/>
      </rPr>
      <t xml:space="preserve">2025-08-14</t>
    </r>
    <r>
      <rPr>
        <sz val="11"/>
        <rFont val="Noto Sans CJK SC"/>
        <family val="2"/>
      </rPr>
      <t xml:space="preserve">起</t>
    </r>
    <r>
      <rPr>
        <sz val="11"/>
        <rFont val="等线"/>
        <family val="0"/>
        <charset val="1"/>
      </rPr>
      <t xml:space="preserve">12</t>
    </r>
    <r>
      <rPr>
        <sz val="11"/>
        <rFont val="Noto Sans CJK SC"/>
        <family val="2"/>
      </rPr>
      <t xml:space="preserve">个月；按半开区间至</t>
    </r>
    <r>
      <rPr>
        <sz val="11"/>
        <rFont val="等线"/>
        <family val="0"/>
        <charset val="1"/>
      </rPr>
      <t xml:space="preserve">2026-08-14</t>
    </r>
    <r>
      <rPr>
        <sz val="11"/>
        <rFont val="Noto Sans CJK SC"/>
        <family val="2"/>
      </rPr>
      <t xml:space="preserve">前，通常至</t>
    </r>
    <r>
      <rPr>
        <sz val="11"/>
        <rFont val="等线"/>
        <family val="0"/>
        <charset val="1"/>
      </rPr>
      <t xml:space="preserve">2026-08-13</t>
    </r>
  </si>
  <si>
    <r>
      <rPr>
        <sz val="11"/>
        <rFont val="等线"/>
        <family val="0"/>
        <charset val="1"/>
      </rPr>
      <t xml:space="preserve">2025</t>
    </r>
    <r>
      <rPr>
        <sz val="11"/>
        <rFont val="Noto Sans CJK SC"/>
        <family val="2"/>
      </rPr>
      <t xml:space="preserve">公告第</t>
    </r>
    <r>
      <rPr>
        <sz val="11"/>
        <rFont val="等线"/>
        <family val="0"/>
        <charset val="1"/>
      </rPr>
      <t xml:space="preserve">1–2</t>
    </r>
    <r>
      <rPr>
        <sz val="11"/>
        <rFont val="Noto Sans CJK SC"/>
        <family val="2"/>
      </rPr>
      <t xml:space="preserve">页；开篇、二（一）</t>
    </r>
    <r>
      <rPr>
        <sz val="11"/>
        <rFont val="等线"/>
        <family val="0"/>
        <charset val="1"/>
      </rPr>
      <t xml:space="preserve">4</t>
    </r>
    <r>
      <rPr>
        <sz val="11"/>
        <rFont val="Noto Sans CJK SC"/>
        <family val="2"/>
      </rPr>
      <t xml:space="preserve">、二（二）</t>
    </r>
    <r>
      <rPr>
        <sz val="11"/>
        <rFont val="等线"/>
        <family val="0"/>
        <charset val="1"/>
      </rPr>
      <t xml:space="preserve">4</t>
    </r>
  </si>
  <si>
    <t xml:space="preserve">完整覆盖2026H1；届满边界请内部法务确认，不影响H1适用</t>
  </si>
  <si>
    <t xml:space="preserve">商品额度</t>
  </si>
  <si>
    <t xml:space="preserve">最高保证金占用40亿元，不含标的实物交割款；自有资金；有效期循环使用；任一时点交易金额含收益再投资不超额度</t>
  </si>
  <si>
    <r>
      <rPr>
        <sz val="11"/>
        <rFont val="等线"/>
        <family val="0"/>
        <charset val="1"/>
      </rPr>
      <t xml:space="preserve">40</t>
    </r>
    <r>
      <rPr>
        <sz val="11"/>
        <rFont val="Noto Sans CJK SC"/>
        <family val="2"/>
      </rPr>
      <t xml:space="preserve">亿元</t>
    </r>
    <r>
      <rPr>
        <sz val="11"/>
        <rFont val="等线"/>
        <family val="0"/>
        <charset val="1"/>
      </rPr>
      <t xml:space="preserve">=400,000</t>
    </r>
    <r>
      <rPr>
        <sz val="11"/>
        <rFont val="Noto Sans CJK SC"/>
        <family val="2"/>
      </rPr>
      <t xml:space="preserve">万元</t>
    </r>
    <r>
      <rPr>
        <sz val="11"/>
        <rFont val="等线"/>
        <family val="0"/>
        <charset val="1"/>
      </rPr>
      <t xml:space="preserve">=4,000,000,000</t>
    </r>
    <r>
      <rPr>
        <sz val="11"/>
        <rFont val="Noto Sans CJK SC"/>
        <family val="2"/>
      </rPr>
      <t xml:space="preserve">元</t>
    </r>
  </si>
  <si>
    <r>
      <rPr>
        <sz val="11"/>
        <rFont val="等线"/>
        <family val="0"/>
        <charset val="1"/>
      </rPr>
      <t xml:space="preserve">2025</t>
    </r>
    <r>
      <rPr>
        <sz val="11"/>
        <rFont val="Noto Sans CJK SC"/>
        <family val="2"/>
      </rPr>
      <t xml:space="preserve">公告第</t>
    </r>
    <r>
      <rPr>
        <sz val="11"/>
        <rFont val="等线"/>
        <family val="0"/>
        <charset val="1"/>
      </rPr>
      <t xml:space="preserve">1–2</t>
    </r>
    <r>
      <rPr>
        <sz val="11"/>
        <rFont val="Noto Sans CJK SC"/>
        <family val="2"/>
      </rPr>
      <t xml:space="preserve">页二（一）</t>
    </r>
    <r>
      <rPr>
        <sz val="11"/>
        <rFont val="等线"/>
        <family val="0"/>
        <charset val="1"/>
      </rPr>
      <t xml:space="preserve">2–4</t>
    </r>
  </si>
  <si>
    <t xml:space="preserve">期末投资金额不等于保证金占用，不能凭640,418,100元认定未超额</t>
  </si>
  <si>
    <t xml:space="preserve">外汇额度</t>
  </si>
  <si>
    <t xml:space="preserve">任何时点余额不超过47亿元；期限内任一时点交易金额含收益再投资不超额度；自有资金</t>
  </si>
  <si>
    <r>
      <rPr>
        <sz val="11"/>
        <rFont val="等线"/>
        <family val="0"/>
        <charset val="1"/>
      </rPr>
      <t xml:space="preserve">47</t>
    </r>
    <r>
      <rPr>
        <sz val="11"/>
        <rFont val="Noto Sans CJK SC"/>
        <family val="2"/>
      </rPr>
      <t xml:space="preserve">亿元</t>
    </r>
    <r>
      <rPr>
        <sz val="11"/>
        <rFont val="等线"/>
        <family val="0"/>
        <charset val="1"/>
      </rPr>
      <t xml:space="preserve">=470,000</t>
    </r>
    <r>
      <rPr>
        <sz val="11"/>
        <rFont val="Noto Sans CJK SC"/>
        <family val="2"/>
      </rPr>
      <t xml:space="preserve">万元</t>
    </r>
    <r>
      <rPr>
        <sz val="11"/>
        <rFont val="等线"/>
        <family val="0"/>
        <charset val="1"/>
      </rPr>
      <t xml:space="preserve">=4,700,000,000</t>
    </r>
    <r>
      <rPr>
        <sz val="11"/>
        <rFont val="Noto Sans CJK SC"/>
        <family val="2"/>
      </rPr>
      <t xml:space="preserve">元</t>
    </r>
  </si>
  <si>
    <r>
      <rPr>
        <sz val="11"/>
        <rFont val="等线"/>
        <family val="0"/>
        <charset val="1"/>
      </rPr>
      <t xml:space="preserve">2025</t>
    </r>
    <r>
      <rPr>
        <sz val="11"/>
        <rFont val="Noto Sans CJK SC"/>
        <family val="2"/>
      </rPr>
      <t xml:space="preserve">公告第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页二（二）</t>
    </r>
    <r>
      <rPr>
        <sz val="11"/>
        <rFont val="等线"/>
        <family val="0"/>
        <charset val="1"/>
      </rPr>
      <t xml:space="preserve">2–4</t>
    </r>
  </si>
  <si>
    <t xml:space="preserve">需全期间银行合约余额及额度台账；期末0不证明全程合规</t>
  </si>
  <si>
    <r>
      <rPr>
        <sz val="11"/>
        <rFont val="等线"/>
        <family val="0"/>
        <charset val="1"/>
      </rPr>
      <t xml:space="preserve">2026</t>
    </r>
    <r>
      <rPr>
        <sz val="11"/>
        <rFont val="Noto Sans CJK SC"/>
        <family val="2"/>
      </rPr>
      <t xml:space="preserve">后续授权</t>
    </r>
  </si>
  <si>
    <r>
      <rPr>
        <sz val="11"/>
        <rFont val="等线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等线"/>
        <family val="0"/>
        <charset val="1"/>
      </rPr>
      <t xml:space="preserve">8</t>
    </r>
    <r>
      <rPr>
        <sz val="11"/>
        <rFont val="Noto Sans CJK SC"/>
        <family val="2"/>
      </rPr>
      <t xml:space="preserve">月公告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股东会形成的后续授权为</t>
    </r>
    <r>
      <rPr>
        <sz val="11"/>
        <rFont val="等线"/>
        <family val="0"/>
        <charset val="1"/>
      </rPr>
      <t xml:space="preserve">H1</t>
    </r>
    <r>
      <rPr>
        <sz val="11"/>
        <rFont val="Noto Sans CJK SC"/>
        <family val="2"/>
      </rPr>
      <t xml:space="preserve">后事项</t>
    </r>
  </si>
  <si>
    <t xml:space="preserve">不追溯用于2026-01-01至06-30</t>
  </si>
  <si>
    <t xml:space="preserve">四份资料未附2026授权公告和决议；半年报第26页仅列2025审批公告日</t>
  </si>
  <si>
    <t xml:space="preserve">不推定2026额度、通过日及衔接；补原件，仅用于后续期间判断</t>
  </si>
  <si>
    <t xml:space="preserve">额度制度</t>
  </si>
  <si>
    <t xml:space="preserve">未来12个月预计审议；期限不超12个月，任一时点金额含收益再交易不得超额</t>
  </si>
  <si>
    <t xml:space="preserve">逐时点/逐日峰值核验</t>
  </si>
  <si>
    <t xml:space="preserve">政策第3页第十条</t>
  </si>
  <si>
    <t xml:space="preserve">需全账户全期间记录，不是期末单点比较</t>
  </si>
  <si>
    <t xml:space="preserve">方案止损</t>
  </si>
  <si>
    <t xml:space="preserve">止损目标不得超过方案交易金额10%；可将套期工具与被套期项目价值变动加总</t>
  </si>
  <si>
    <t xml:space="preserve">每方案交易金额×10%</t>
  </si>
  <si>
    <t xml:space="preserve">政策第3–4页第十三条</t>
  </si>
  <si>
    <t xml:space="preserve">方案级上限；集团总金额、单一衍生品亏损或2.9亿元不能替代基数</t>
  </si>
  <si>
    <t xml:space="preserve">达到止损后的处理</t>
  </si>
  <si>
    <t xml:space="preserve">达到方案止损计划应及时要求止损平仓；特殊情况继续持仓需及时报决策小组同意，重订方案并审批</t>
  </si>
  <si>
    <t xml:space="preserve">审批及执行时间链</t>
  </si>
  <si>
    <t xml:space="preserve">政策第4页第十四条</t>
  </si>
  <si>
    <t xml:space="preserve">须原方案、预警、平仓指令或例外审批及修订方案</t>
  </si>
  <si>
    <t xml:space="preserve">损失披露条件</t>
  </si>
  <si>
    <t xml:space="preserve">已确认损益及浮动亏损金额每达到最近一年经审计归母净利润10%且绝对金额超过1,000万元，应及时披露；可期现价值变动加总</t>
  </si>
  <si>
    <r>
      <rPr>
        <sz val="11"/>
        <rFont val="等线"/>
        <family val="0"/>
        <charset val="1"/>
      </rPr>
      <t xml:space="preserve">10%×</t>
    </r>
    <r>
      <rPr>
        <sz val="11"/>
        <rFont val="Noto Sans CJK SC"/>
        <family val="2"/>
      </rPr>
      <t xml:space="preserve">最近一年经审计归母净利润，且</t>
    </r>
    <r>
      <rPr>
        <sz val="11"/>
        <rFont val="等线"/>
        <family val="0"/>
        <charset val="1"/>
      </rPr>
      <t xml:space="preserve">&gt;10,000,000</t>
    </r>
    <r>
      <rPr>
        <sz val="11"/>
        <rFont val="Noto Sans CJK SC"/>
        <family val="2"/>
      </rPr>
      <t xml:space="preserve">元（</t>
    </r>
    <r>
      <rPr>
        <sz val="11"/>
        <rFont val="等线"/>
        <family val="0"/>
        <charset val="1"/>
      </rPr>
      <t xml:space="preserve">1,000</t>
    </r>
    <r>
      <rPr>
        <sz val="11"/>
        <rFont val="Noto Sans CJK SC"/>
        <family val="2"/>
      </rPr>
      <t xml:space="preserve">万元）</t>
    </r>
  </si>
  <si>
    <t xml:space="preserve">政策第7页第三十条</t>
  </si>
  <si>
    <t xml:space="preserve">双条件；逐次监测；补2025年度审计基数及监测台账，不能用H1净利润或累计权益替代</t>
  </si>
  <si>
    <t xml:space="preserve">触发后附加义务</t>
  </si>
  <si>
    <t xml:space="preserve">出现前款亏损情形，需重评套期关系有效性，披露未按预期抵销原因，分别披露套期工具和被套期项目价值变动</t>
  </si>
  <si>
    <t xml:space="preserve">触发后的评估与披露</t>
  </si>
  <si>
    <t xml:space="preserve">政策第7页第三十条第二款</t>
  </si>
  <si>
    <t xml:space="preserve">现有材料不能确认触发/未触发；期现合计盈利不等于全程无触发</t>
  </si>
  <si>
    <t xml:space="preserve">编号</t>
  </si>
  <si>
    <t xml:space="preserve">文件/记录类别</t>
  </si>
  <si>
    <t xml:space="preserve">页码/条款/表项</t>
  </si>
  <si>
    <t xml:space="preserve">证据/缺口</t>
  </si>
  <si>
    <t xml:space="preserve">影响与所需动作</t>
  </si>
  <si>
    <t xml:space="preserve">状态</t>
  </si>
  <si>
    <t xml:space="preserve">E01</t>
  </si>
  <si>
    <t xml:space="preserve">halfyear_report_2026.pdf</t>
  </si>
  <si>
    <r>
      <rPr>
        <sz val="11"/>
        <rFont val="等线"/>
        <family val="0"/>
        <charset val="1"/>
      </rPr>
      <t xml:space="preserve">PDF</t>
    </r>
    <r>
      <rPr>
        <sz val="11"/>
        <rFont val="Noto Sans CJK SC"/>
        <family val="2"/>
      </rPr>
      <t xml:space="preserve">第</t>
    </r>
    <r>
      <rPr>
        <sz val="11"/>
        <rFont val="等线"/>
        <family val="0"/>
        <charset val="1"/>
      </rPr>
      <t xml:space="preserve">25</t>
    </r>
    <r>
      <rPr>
        <sz val="11"/>
        <rFont val="Noto Sans CJK SC"/>
        <family val="2"/>
      </rPr>
      <t xml:space="preserve">页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印刷第</t>
    </r>
    <r>
      <rPr>
        <sz val="11"/>
        <rFont val="等线"/>
        <family val="0"/>
        <charset val="1"/>
      </rPr>
      <t xml:space="preserve">24</t>
    </r>
    <r>
      <rPr>
        <sz val="11"/>
        <rFont val="Noto Sans CJK SC"/>
        <family val="2"/>
      </rPr>
      <t xml:space="preserve">页；衍生品投资表、实际损益段</t>
    </r>
  </si>
  <si>
    <t xml:space="preserve">金额、占比及期现相抵2.9亿元</t>
  </si>
  <si>
    <t xml:space="preserve">公开披露依据；非逐笔验证</t>
  </si>
  <si>
    <t xml:space="preserve">已取得</t>
  </si>
  <si>
    <t xml:space="preserve">E02</t>
  </si>
  <si>
    <r>
      <rPr>
        <sz val="11"/>
        <rFont val="等线"/>
        <family val="0"/>
        <charset val="1"/>
      </rPr>
      <t xml:space="preserve">PDF</t>
    </r>
    <r>
      <rPr>
        <sz val="11"/>
        <rFont val="Noto Sans CJK SC"/>
        <family val="2"/>
      </rPr>
      <t xml:space="preserve">第</t>
    </r>
    <r>
      <rPr>
        <sz val="11"/>
        <rFont val="等线"/>
        <family val="0"/>
        <charset val="1"/>
      </rPr>
      <t xml:space="preserve">12</t>
    </r>
    <r>
      <rPr>
        <sz val="11"/>
        <rFont val="Noto Sans CJK SC"/>
        <family val="2"/>
      </rPr>
      <t xml:space="preserve">页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印刷第</t>
    </r>
    <r>
      <rPr>
        <sz val="11"/>
        <rFont val="等线"/>
        <family val="0"/>
        <charset val="1"/>
      </rPr>
      <t xml:space="preserve">11</t>
    </r>
    <r>
      <rPr>
        <sz val="11"/>
        <rFont val="Noto Sans CJK SC"/>
        <family val="2"/>
      </rPr>
      <t xml:space="preserve">页；主要会计数据</t>
    </r>
  </si>
  <si>
    <t xml:space="preserve">归母净资产23,737,652,896.58元</t>
  </si>
  <si>
    <t xml:space="preserve">占比分母验证</t>
  </si>
  <si>
    <r>
      <rPr>
        <sz val="11"/>
        <rFont val="等线"/>
        <family val="0"/>
        <charset val="1"/>
      </rPr>
      <t xml:space="preserve">PDF</t>
    </r>
    <r>
      <rPr>
        <sz val="11"/>
        <rFont val="Noto Sans CJK SC"/>
        <family val="2"/>
      </rPr>
      <t xml:space="preserve">第</t>
    </r>
    <r>
      <rPr>
        <sz val="11"/>
        <rFont val="等线"/>
        <family val="0"/>
        <charset val="1"/>
      </rPr>
      <t xml:space="preserve">59</t>
    </r>
    <r>
      <rPr>
        <sz val="11"/>
        <rFont val="Noto Sans CJK SC"/>
        <family val="2"/>
      </rPr>
      <t xml:space="preserve">页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印刷第</t>
    </r>
    <r>
      <rPr>
        <sz val="11"/>
        <rFont val="等线"/>
        <family val="0"/>
        <charset val="1"/>
      </rPr>
      <t xml:space="preserve">58</t>
    </r>
    <r>
      <rPr>
        <sz val="11"/>
        <rFont val="Noto Sans CJK SC"/>
        <family val="2"/>
      </rPr>
      <t xml:space="preserve">页；合并资产负债表</t>
    </r>
  </si>
  <si>
    <t xml:space="preserve">归母权益及总权益25,092,817,803.58元</t>
  </si>
  <si>
    <t xml:space="preserve">区分归母与含少数股东口径</t>
  </si>
  <si>
    <t xml:space="preserve">E04</t>
  </si>
  <si>
    <t xml:space="preserve">2025_authorization_announcement.pdf</t>
  </si>
  <si>
    <t xml:space="preserve">第1–2页；开篇、二（一）（二）</t>
  </si>
  <si>
    <t xml:space="preserve">商品保证金40亿元；外汇47亿元；通过日起12个月</t>
  </si>
  <si>
    <t xml:space="preserve">授权额度与计量定义</t>
  </si>
  <si>
    <t xml:space="preserve">E05</t>
  </si>
  <si>
    <t xml:space="preserve">2025_authorization_resolution.pdf</t>
  </si>
  <si>
    <t xml:space="preserve">第1页会议日；第3–4页议案5</t>
  </si>
  <si>
    <r>
      <rPr>
        <sz val="11"/>
        <rFont val="等线"/>
        <family val="0"/>
        <charset val="1"/>
      </rPr>
      <t xml:space="preserve">2025-08-14</t>
    </r>
    <r>
      <rPr>
        <sz val="11"/>
        <rFont val="Noto Sans CJK SC"/>
        <family val="2"/>
      </rPr>
      <t xml:space="preserve">实际通过，</t>
    </r>
    <r>
      <rPr>
        <sz val="11"/>
        <rFont val="等线"/>
        <family val="0"/>
        <charset val="1"/>
      </rPr>
      <t xml:space="preserve">2025-08-15</t>
    </r>
    <r>
      <rPr>
        <sz val="11"/>
        <rFont val="Noto Sans CJK SC"/>
        <family val="2"/>
      </rPr>
      <t xml:space="preserve">公告</t>
    </r>
  </si>
  <si>
    <t xml:space="preserve">通过日不等于公告日</t>
  </si>
  <si>
    <t xml:space="preserve">E06</t>
  </si>
  <si>
    <t xml:space="preserve">hedge_policy.pdf</t>
  </si>
  <si>
    <t xml:space="preserve">第1页第二条；第3页第十条；第3–4页第十三、十四条；第7页第三十条</t>
  </si>
  <si>
    <t xml:space="preserve">适用范围、额度、方案止损及损失披露</t>
  </si>
  <si>
    <t xml:space="preserve">制度落款2025-07-25；执行证据待补</t>
  </si>
  <si>
    <t xml:space="preserve">G01</t>
  </si>
  <si>
    <t xml:space="preserve">逐笔现货及风险敞口</t>
  </si>
  <si>
    <t xml:space="preserve">合同、订单、库存、预计交易、收付款、币种日期及子公司明细</t>
  </si>
  <si>
    <t xml:space="preserve">公开资料没有逐笔现货记录</t>
  </si>
  <si>
    <t xml:space="preserve">无法重建逐笔匹配及2.9亿元；补套保方案ID映射、期现匹配矩阵</t>
  </si>
  <si>
    <t xml:space="preserve">待补</t>
  </si>
  <si>
    <t xml:space="preserve">G02</t>
  </si>
  <si>
    <t xml:space="preserve">完整交易/持仓/结算记录</t>
  </si>
  <si>
    <t xml:space="preserve">全账户全期间（含期初期末）；期货、期权及银行合约</t>
  </si>
  <si>
    <t xml:space="preserve">缺订单、成交、撤单、持仓、逐日盯市、结算、交割及银行确认/估值</t>
  </si>
  <si>
    <t xml:space="preserve">核验期末定义、滚动差额及损益；避免遗漏已平仓业务</t>
  </si>
  <si>
    <t xml:space="preserve">G03</t>
  </si>
  <si>
    <t xml:space="preserve">保证金账户快照及资金流水</t>
  </si>
  <si>
    <t xml:space="preserve">每日及日内峰值、出入金、权利金、授信、担保物、应急保证金</t>
  </si>
  <si>
    <t xml:space="preserve">缺完整保证金账户快照及额度归集台账</t>
  </si>
  <si>
    <t xml:space="preserve">不能重建保证金使用、任一时点限额及流动性；期末单点不替代</t>
  </si>
  <si>
    <t xml:space="preserve">G04</t>
  </si>
  <si>
    <t xml:space="preserve">交易所及经纪商参数</t>
  </si>
  <si>
    <t xml:space="preserve">合约乘数、保证金率及调整、结算价、限仓/涨跌停、手续费、追加标准</t>
  </si>
  <si>
    <t xml:space="preserve">四份资料未提供交易所参数</t>
  </si>
  <si>
    <t xml:space="preserve">不能重算合约敞口、保证金需求、压力追加及强平风险</t>
  </si>
  <si>
    <t xml:space="preserve">G05</t>
  </si>
  <si>
    <t xml:space="preserve">方案及止损执行链</t>
  </si>
  <si>
    <t xml:space="preserve">方案交易金额、审批、日报、期现价值序列、预警、平仓、例外批准及重订方案</t>
  </si>
  <si>
    <t xml:space="preserve">缺方案级与执行时序证据</t>
  </si>
  <si>
    <t xml:space="preserve">不能验证10%目标上限及触发后及时执行合规</t>
  </si>
  <si>
    <t xml:space="preserve">G06</t>
  </si>
  <si>
    <t xml:space="preserve">财务桥接及有效性资料</t>
  </si>
  <si>
    <t xml:space="preserve">总账、OCI明细、套期指定、有效性评估、期现损益组成、合并抵销</t>
  </si>
  <si>
    <t xml:space="preserve">缺2.9亿元计算方法与精度及-819.72万元差额桥</t>
  </si>
  <si>
    <t xml:space="preserve">核实金额定义、归属及2.9亿元（290,000,000元）披露；不冒充逐笔重算</t>
  </si>
  <si>
    <t xml:space="preserve">G07</t>
  </si>
  <si>
    <t xml:space="preserve">审计基数及损失监测</t>
  </si>
  <si>
    <r>
      <rPr>
        <sz val="11"/>
        <rFont val="等线"/>
        <family val="0"/>
        <charset val="1"/>
      </rPr>
      <t xml:space="preserve">2025</t>
    </r>
    <r>
      <rPr>
        <sz val="11"/>
        <rFont val="Noto Sans CJK SC"/>
        <family val="2"/>
      </rPr>
      <t xml:space="preserve">年度经审计归母净利润；</t>
    </r>
    <r>
      <rPr>
        <sz val="11"/>
        <rFont val="等线"/>
        <family val="0"/>
        <charset val="1"/>
      </rPr>
      <t xml:space="preserve">H1</t>
    </r>
    <r>
      <rPr>
        <sz val="11"/>
        <rFont val="Noto Sans CJK SC"/>
        <family val="2"/>
      </rPr>
      <t xml:space="preserve">各触发时点记录、公告及重评材料</t>
    </r>
  </si>
  <si>
    <t xml:space="preserve">无法确认完整基数及动态触发情况</t>
  </si>
  <si>
    <t xml:space="preserve">才能计算第三十条阈值及判断及时披露，不能以半年合计盈利证明未触发</t>
  </si>
  <si>
    <t xml:space="preserve">G08</t>
  </si>
  <si>
    <t xml:space="preserve">后续授权及账户范围</t>
  </si>
  <si>
    <r>
      <rPr>
        <sz val="11"/>
        <rFont val="等线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等线"/>
        <family val="0"/>
        <charset val="1"/>
      </rPr>
      <t xml:space="preserve">8</t>
    </r>
    <r>
      <rPr>
        <sz val="11"/>
        <rFont val="Noto Sans CJK SC"/>
        <family val="2"/>
      </rPr>
      <t xml:space="preserve">月公告、股东会实际通过日及决议；内部授权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开户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控股子公司清单</t>
    </r>
  </si>
  <si>
    <r>
      <rPr>
        <sz val="11"/>
        <rFont val="等线"/>
        <family val="0"/>
        <charset val="1"/>
      </rPr>
      <t xml:space="preserve">2026</t>
    </r>
    <r>
      <rPr>
        <sz val="11"/>
        <rFont val="Noto Sans CJK SC"/>
        <family val="2"/>
      </rPr>
      <t xml:space="preserve">后续授权原件未在四份资料中</t>
    </r>
  </si>
  <si>
    <t xml:space="preserve">核验H1后授权衔接，不回溯用于H1；确认执行主体及制度有无修订</t>
  </si>
  <si>
    <t xml:space="preserve">C01</t>
  </si>
  <si>
    <t xml:space="preserve">总体结论</t>
  </si>
  <si>
    <t xml:space="preserve">E01–E06/G01–G08</t>
  </si>
  <si>
    <t xml:space="preserve">同字段合计、比例舍入一致；2025授权期限覆盖H1</t>
  </si>
  <si>
    <t xml:space="preserve">有保留：滚动差额待解释；不就逐笔匹配、保证金、止损或披露触发作合规肯定判断</t>
  </si>
  <si>
    <t xml:space="preserve">待负责人确认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</si>
</sst>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-#,##0.00"/>
    <numFmt numFmtId="166" formatCode="0.00%"/>
    <numFmt numFmtId="167" formatCode="0.0000000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等线"/>
      <family val="0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3" min="3" style="1" width="25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30"/>
    <col collapsed="false" customWidth="true" hidden="false" outlineLevel="0" max="7" min="7" style="1" width="33"/>
    <col collapsed="false" customWidth="true" hidden="false" outlineLevel="0" max="8" min="8" style="1" width="60"/>
    <col collapsed="false" customWidth="true" hidden="false" outlineLevel="0" max="9" min="9" style="1" width="7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79.5" hidden="false" customHeight="true" outlineLevel="0" collapsed="false">
      <c r="A2" s="3" t="s">
        <v>9</v>
      </c>
      <c r="B2" s="3" t="s">
        <v>10</v>
      </c>
      <c r="C2" s="4" t="n">
        <v>43985.34</v>
      </c>
      <c r="D2" s="3" t="s">
        <v>11</v>
      </c>
      <c r="E2" s="3" t="n">
        <v>10000</v>
      </c>
      <c r="F2" s="4" t="n">
        <f aca="false">C2*E2</f>
        <v>439853400</v>
      </c>
      <c r="G2" s="5" t="s">
        <v>12</v>
      </c>
      <c r="H2" s="5" t="s">
        <v>13</v>
      </c>
      <c r="I2" s="3" t="s">
        <v>14</v>
      </c>
    </row>
    <row r="3" customFormat="false" ht="79.5" hidden="false" customHeight="true" outlineLevel="0" collapsed="false">
      <c r="A3" s="3" t="s">
        <v>9</v>
      </c>
      <c r="B3" s="3" t="s">
        <v>15</v>
      </c>
      <c r="C3" s="4" t="n">
        <v>-4639.58</v>
      </c>
      <c r="D3" s="3" t="s">
        <v>11</v>
      </c>
      <c r="E3" s="3" t="n">
        <v>10000</v>
      </c>
      <c r="F3" s="4" t="n">
        <f aca="false">C3*E3</f>
        <v>-46395800</v>
      </c>
      <c r="G3" s="5" t="s">
        <v>16</v>
      </c>
      <c r="H3" s="5" t="s">
        <v>13</v>
      </c>
      <c r="I3" s="3" t="s">
        <v>14</v>
      </c>
    </row>
    <row r="4" customFormat="false" ht="79.5" hidden="false" customHeight="true" outlineLevel="0" collapsed="false">
      <c r="A4" s="3" t="s">
        <v>9</v>
      </c>
      <c r="B4" s="3" t="s">
        <v>17</v>
      </c>
      <c r="C4" s="4" t="n">
        <v>-10718.22</v>
      </c>
      <c r="D4" s="3" t="s">
        <v>11</v>
      </c>
      <c r="E4" s="3" t="n">
        <v>10000</v>
      </c>
      <c r="F4" s="4" t="n">
        <f aca="false">C4*E4</f>
        <v>-107182200</v>
      </c>
      <c r="G4" s="3" t="s">
        <v>18</v>
      </c>
      <c r="H4" s="5" t="s">
        <v>13</v>
      </c>
      <c r="I4" s="3" t="s">
        <v>14</v>
      </c>
    </row>
    <row r="5" customFormat="false" ht="79.5" hidden="false" customHeight="true" outlineLevel="0" collapsed="false">
      <c r="A5" s="3" t="s">
        <v>9</v>
      </c>
      <c r="B5" s="3" t="s">
        <v>19</v>
      </c>
      <c r="C5" s="4" t="n">
        <v>67976.44</v>
      </c>
      <c r="D5" s="3" t="s">
        <v>11</v>
      </c>
      <c r="E5" s="3" t="n">
        <v>10000</v>
      </c>
      <c r="F5" s="4" t="n">
        <f aca="false">C5*E5</f>
        <v>679764400</v>
      </c>
      <c r="G5" s="5" t="s">
        <v>20</v>
      </c>
      <c r="H5" s="5" t="s">
        <v>13</v>
      </c>
      <c r="I5" s="3" t="s">
        <v>14</v>
      </c>
    </row>
    <row r="6" customFormat="false" ht="79.5" hidden="false" customHeight="true" outlineLevel="0" collapsed="false">
      <c r="A6" s="3" t="s">
        <v>9</v>
      </c>
      <c r="B6" s="3" t="s">
        <v>21</v>
      </c>
      <c r="C6" s="4" t="n">
        <v>47100.25</v>
      </c>
      <c r="D6" s="3" t="s">
        <v>11</v>
      </c>
      <c r="E6" s="3" t="n">
        <v>10000</v>
      </c>
      <c r="F6" s="4" t="n">
        <f aca="false">C6*E6</f>
        <v>471002500</v>
      </c>
      <c r="G6" s="5" t="s">
        <v>20</v>
      </c>
      <c r="H6" s="5" t="s">
        <v>13</v>
      </c>
      <c r="I6" s="3" t="s">
        <v>14</v>
      </c>
    </row>
    <row r="7" customFormat="false" ht="79.5" hidden="false" customHeight="true" outlineLevel="0" collapsed="false">
      <c r="A7" s="3" t="s">
        <v>9</v>
      </c>
      <c r="B7" s="3" t="s">
        <v>22</v>
      </c>
      <c r="C7" s="4" t="n">
        <v>64041.81</v>
      </c>
      <c r="D7" s="3" t="s">
        <v>11</v>
      </c>
      <c r="E7" s="3" t="n">
        <v>10000</v>
      </c>
      <c r="F7" s="4" t="n">
        <f aca="false">C7*E7</f>
        <v>640418100</v>
      </c>
      <c r="G7" s="5" t="s">
        <v>23</v>
      </c>
      <c r="H7" s="5" t="s">
        <v>13</v>
      </c>
      <c r="I7" s="3" t="s">
        <v>14</v>
      </c>
    </row>
    <row r="8" customFormat="false" ht="79.5" hidden="false" customHeight="true" outlineLevel="0" collapsed="false">
      <c r="A8" s="3" t="s">
        <v>9</v>
      </c>
      <c r="B8" s="3" t="s">
        <v>24</v>
      </c>
      <c r="C8" s="6" t="n">
        <v>0.027</v>
      </c>
      <c r="D8" s="3" t="s">
        <v>25</v>
      </c>
      <c r="E8" s="3" t="n">
        <v>1</v>
      </c>
      <c r="F8" s="6" t="n">
        <f aca="false">C8*E8</f>
        <v>0.027</v>
      </c>
      <c r="G8" s="5" t="s">
        <v>26</v>
      </c>
      <c r="H8" s="5" t="s">
        <v>13</v>
      </c>
      <c r="I8" s="3" t="s">
        <v>14</v>
      </c>
    </row>
    <row r="9" customFormat="false" ht="79.5" hidden="false" customHeight="true" outlineLevel="0" collapsed="false">
      <c r="A9" s="3" t="s">
        <v>27</v>
      </c>
      <c r="B9" s="3" t="s">
        <v>15</v>
      </c>
      <c r="C9" s="4" t="n">
        <v>-608.01</v>
      </c>
      <c r="D9" s="3" t="s">
        <v>11</v>
      </c>
      <c r="E9" s="3" t="n">
        <v>10000</v>
      </c>
      <c r="F9" s="4" t="n">
        <f aca="false">C9*E9</f>
        <v>-6080100</v>
      </c>
      <c r="G9" s="5" t="s">
        <v>16</v>
      </c>
      <c r="H9" s="5" t="s">
        <v>13</v>
      </c>
      <c r="I9" s="3" t="s">
        <v>14</v>
      </c>
    </row>
    <row r="10" customFormat="false" ht="79.5" hidden="false" customHeight="true" outlineLevel="0" collapsed="false">
      <c r="A10" s="3" t="s">
        <v>27</v>
      </c>
      <c r="B10" s="3" t="s">
        <v>17</v>
      </c>
      <c r="C10" s="4" t="n">
        <v>336.27</v>
      </c>
      <c r="D10" s="3" t="s">
        <v>11</v>
      </c>
      <c r="E10" s="3" t="n">
        <v>10000</v>
      </c>
      <c r="F10" s="4" t="n">
        <f aca="false">C10*E10</f>
        <v>3362700</v>
      </c>
      <c r="G10" s="3" t="s">
        <v>18</v>
      </c>
      <c r="H10" s="5" t="s">
        <v>13</v>
      </c>
      <c r="I10" s="3" t="s">
        <v>14</v>
      </c>
    </row>
    <row r="11" customFormat="false" ht="79.5" hidden="false" customHeight="true" outlineLevel="0" collapsed="false">
      <c r="A11" s="3" t="s">
        <v>27</v>
      </c>
      <c r="B11" s="3" t="s">
        <v>22</v>
      </c>
      <c r="C11" s="4" t="n">
        <v>0</v>
      </c>
      <c r="D11" s="3" t="s">
        <v>11</v>
      </c>
      <c r="E11" s="3" t="n">
        <v>10000</v>
      </c>
      <c r="F11" s="4" t="n">
        <f aca="false">C11*E11</f>
        <v>0</v>
      </c>
      <c r="G11" s="5" t="s">
        <v>28</v>
      </c>
      <c r="H11" s="5" t="s">
        <v>13</v>
      </c>
      <c r="I11" s="3" t="s">
        <v>14</v>
      </c>
    </row>
    <row r="12" customFormat="false" ht="79.5" hidden="false" customHeight="true" outlineLevel="0" collapsed="false">
      <c r="A12" s="3" t="s">
        <v>29</v>
      </c>
      <c r="B12" s="3" t="s">
        <v>15</v>
      </c>
      <c r="C12" s="4" t="n">
        <v>-5247.59</v>
      </c>
      <c r="D12" s="3" t="s">
        <v>11</v>
      </c>
      <c r="E12" s="3" t="n">
        <v>10000</v>
      </c>
      <c r="F12" s="4" t="n">
        <f aca="false">C12*E12</f>
        <v>-52475900</v>
      </c>
      <c r="G12" s="5" t="s">
        <v>16</v>
      </c>
      <c r="H12" s="5" t="s">
        <v>13</v>
      </c>
      <c r="I12" s="3" t="s">
        <v>14</v>
      </c>
    </row>
    <row r="13" customFormat="false" ht="79.5" hidden="false" customHeight="true" outlineLevel="0" collapsed="false">
      <c r="A13" s="3" t="s">
        <v>29</v>
      </c>
      <c r="B13" s="3" t="s">
        <v>17</v>
      </c>
      <c r="C13" s="4" t="n">
        <v>-10381.95</v>
      </c>
      <c r="D13" s="3" t="s">
        <v>11</v>
      </c>
      <c r="E13" s="3" t="n">
        <v>10000</v>
      </c>
      <c r="F13" s="4" t="n">
        <f aca="false">C13*E13</f>
        <v>-103819500</v>
      </c>
      <c r="G13" s="3" t="s">
        <v>18</v>
      </c>
      <c r="H13" s="5" t="s">
        <v>13</v>
      </c>
      <c r="I13" s="3" t="s">
        <v>14</v>
      </c>
    </row>
    <row r="14" customFormat="false" ht="79.5" hidden="false" customHeight="true" outlineLevel="0" collapsed="false">
      <c r="A14" s="3" t="s">
        <v>29</v>
      </c>
      <c r="B14" s="3" t="s">
        <v>22</v>
      </c>
      <c r="C14" s="4" t="n">
        <v>64041.81</v>
      </c>
      <c r="D14" s="3" t="s">
        <v>11</v>
      </c>
      <c r="E14" s="3" t="n">
        <v>10000</v>
      </c>
      <c r="F14" s="4" t="n">
        <f aca="false">C14*E14</f>
        <v>640418100</v>
      </c>
      <c r="G14" s="5" t="s">
        <v>30</v>
      </c>
      <c r="H14" s="5" t="s">
        <v>13</v>
      </c>
      <c r="I14" s="3" t="s">
        <v>14</v>
      </c>
    </row>
    <row r="15" customFormat="false" ht="79.5" hidden="false" customHeight="true" outlineLevel="0" collapsed="false">
      <c r="A15" s="3" t="s">
        <v>29</v>
      </c>
      <c r="B15" s="3" t="s">
        <v>24</v>
      </c>
      <c r="C15" s="6" t="n">
        <v>0.027</v>
      </c>
      <c r="D15" s="3" t="s">
        <v>25</v>
      </c>
      <c r="E15" s="3" t="n">
        <v>1</v>
      </c>
      <c r="F15" s="6" t="n">
        <f aca="false">C15*E15</f>
        <v>0.027</v>
      </c>
      <c r="G15" s="5" t="s">
        <v>26</v>
      </c>
      <c r="H15" s="5" t="s">
        <v>13</v>
      </c>
      <c r="I15" s="3" t="s">
        <v>14</v>
      </c>
    </row>
    <row r="16" customFormat="false" ht="79.5" hidden="false" customHeight="true" outlineLevel="0" collapsed="false">
      <c r="A16" s="3" t="s">
        <v>31</v>
      </c>
      <c r="B16" s="3" t="s">
        <v>32</v>
      </c>
      <c r="C16" s="4" t="n">
        <v>2.9</v>
      </c>
      <c r="D16" s="3" t="s">
        <v>33</v>
      </c>
      <c r="E16" s="3" t="n">
        <v>100000000</v>
      </c>
      <c r="F16" s="4" t="n">
        <f aca="false">C16*E16</f>
        <v>290000000</v>
      </c>
      <c r="G16" s="5" t="s">
        <v>34</v>
      </c>
      <c r="H16" s="5" t="s">
        <v>35</v>
      </c>
      <c r="I16" s="5" t="s">
        <v>36</v>
      </c>
    </row>
    <row r="17" customFormat="false" ht="79.5" hidden="false" customHeight="true" outlineLevel="0" collapsed="false">
      <c r="A17" s="3" t="s">
        <v>37</v>
      </c>
      <c r="B17" s="3" t="s">
        <v>38</v>
      </c>
      <c r="C17" s="3"/>
      <c r="D17" s="3" t="s">
        <v>39</v>
      </c>
      <c r="E17" s="3"/>
      <c r="F17" s="4" t="n">
        <f aca="false">F3+F9-F12</f>
        <v>0</v>
      </c>
      <c r="G17" s="3" t="s">
        <v>40</v>
      </c>
      <c r="H17" s="5" t="s">
        <v>13</v>
      </c>
      <c r="I17" s="5" t="s">
        <v>41</v>
      </c>
    </row>
    <row r="18" customFormat="false" ht="79.5" hidden="false" customHeight="true" outlineLevel="0" collapsed="false">
      <c r="A18" s="3" t="s">
        <v>37</v>
      </c>
      <c r="B18" s="3" t="s">
        <v>42</v>
      </c>
      <c r="C18" s="3"/>
      <c r="D18" s="3" t="s">
        <v>39</v>
      </c>
      <c r="E18" s="3"/>
      <c r="F18" s="4" t="n">
        <f aca="false">F4+F10-F13</f>
        <v>0</v>
      </c>
      <c r="G18" s="3" t="s">
        <v>40</v>
      </c>
      <c r="H18" s="5" t="s">
        <v>13</v>
      </c>
      <c r="I18" s="5" t="s">
        <v>43</v>
      </c>
    </row>
    <row r="19" customFormat="false" ht="79.5" hidden="false" customHeight="true" outlineLevel="0" collapsed="false">
      <c r="A19" s="3" t="s">
        <v>37</v>
      </c>
      <c r="B19" s="3" t="s">
        <v>44</v>
      </c>
      <c r="C19" s="3"/>
      <c r="D19" s="3" t="s">
        <v>39</v>
      </c>
      <c r="E19" s="3"/>
      <c r="F19" s="4" t="n">
        <f aca="false">F7+F11-F14</f>
        <v>0</v>
      </c>
      <c r="G19" s="3" t="s">
        <v>45</v>
      </c>
      <c r="H19" s="5" t="s">
        <v>13</v>
      </c>
      <c r="I19" s="5" t="s">
        <v>46</v>
      </c>
    </row>
    <row r="20" customFormat="false" ht="79.5" hidden="false" customHeight="true" outlineLevel="0" collapsed="false">
      <c r="A20" s="3" t="s">
        <v>37</v>
      </c>
      <c r="B20" s="3" t="s">
        <v>47</v>
      </c>
      <c r="C20" s="3"/>
      <c r="D20" s="3" t="s">
        <v>39</v>
      </c>
      <c r="E20" s="3"/>
      <c r="F20" s="4" t="n">
        <f aca="false">F2+F5-F6</f>
        <v>648615300</v>
      </c>
      <c r="G20" s="3" t="s">
        <v>48</v>
      </c>
      <c r="H20" s="5" t="s">
        <v>13</v>
      </c>
      <c r="I20" s="5" t="s">
        <v>49</v>
      </c>
    </row>
    <row r="21" customFormat="false" ht="79.5" hidden="false" customHeight="true" outlineLevel="0" collapsed="false">
      <c r="A21" s="3" t="s">
        <v>37</v>
      </c>
      <c r="B21" s="3" t="s">
        <v>50</v>
      </c>
      <c r="C21" s="3"/>
      <c r="D21" s="3" t="s">
        <v>39</v>
      </c>
      <c r="E21" s="3"/>
      <c r="F21" s="4" t="n">
        <f aca="false">F7-F20</f>
        <v>-8197200</v>
      </c>
      <c r="G21" s="3" t="s">
        <v>51</v>
      </c>
      <c r="H21" s="5" t="s">
        <v>13</v>
      </c>
      <c r="I21" s="5" t="s">
        <v>52</v>
      </c>
    </row>
    <row r="22" customFormat="false" ht="79.5" hidden="false" customHeight="true" outlineLevel="0" collapsed="false">
      <c r="A22" s="3" t="s">
        <v>37</v>
      </c>
      <c r="B22" s="3" t="s">
        <v>53</v>
      </c>
      <c r="C22" s="3"/>
      <c r="D22" s="3" t="s">
        <v>39</v>
      </c>
      <c r="E22" s="3"/>
      <c r="F22" s="4" t="n">
        <v>23737652896.58</v>
      </c>
      <c r="G22" s="5" t="s">
        <v>54</v>
      </c>
      <c r="H22" s="5" t="s">
        <v>55</v>
      </c>
      <c r="I22" s="3" t="s">
        <v>56</v>
      </c>
    </row>
    <row r="23" customFormat="false" ht="79.5" hidden="false" customHeight="true" outlineLevel="0" collapsed="false">
      <c r="A23" s="3" t="s">
        <v>37</v>
      </c>
      <c r="B23" s="3" t="s">
        <v>57</v>
      </c>
      <c r="C23" s="3"/>
      <c r="D23" s="3" t="s">
        <v>39</v>
      </c>
      <c r="E23" s="3"/>
      <c r="F23" s="7" t="n">
        <f aca="false">F14/F22</f>
        <v>0.0269789984203648</v>
      </c>
      <c r="G23" s="3" t="s">
        <v>58</v>
      </c>
      <c r="H23" s="5" t="s">
        <v>59</v>
      </c>
      <c r="I23" s="5" t="s">
        <v>60</v>
      </c>
    </row>
    <row r="24" customFormat="false" ht="79.5" hidden="false" customHeight="true" outlineLevel="0" collapsed="false">
      <c r="A24" s="3" t="s">
        <v>37</v>
      </c>
      <c r="B24" s="3" t="s">
        <v>61</v>
      </c>
      <c r="C24" s="3"/>
      <c r="D24" s="3" t="s">
        <v>39</v>
      </c>
      <c r="E24" s="3"/>
      <c r="F24" s="6" t="n">
        <f aca="false">ROUND(F23*100,2)/100-F15</f>
        <v>0</v>
      </c>
      <c r="G24" s="3" t="s">
        <v>62</v>
      </c>
      <c r="H24" s="5" t="s">
        <v>63</v>
      </c>
      <c r="I24" s="5" t="s">
        <v>64</v>
      </c>
    </row>
    <row r="25" customFormat="false" ht="79.5" hidden="false" customHeight="true" outlineLevel="0" collapsed="false">
      <c r="A25" s="3" t="s">
        <v>37</v>
      </c>
      <c r="B25" s="3" t="s">
        <v>65</v>
      </c>
      <c r="C25" s="3"/>
      <c r="D25" s="3" t="s">
        <v>39</v>
      </c>
      <c r="E25" s="3"/>
      <c r="F25" s="4" t="n">
        <v>25092817803.58</v>
      </c>
      <c r="G25" s="5" t="s">
        <v>54</v>
      </c>
      <c r="H25" s="5" t="s">
        <v>66</v>
      </c>
      <c r="I25" s="3" t="s">
        <v>67</v>
      </c>
    </row>
    <row r="26" customFormat="false" ht="79.5" hidden="false" customHeight="true" outlineLevel="0" collapsed="false">
      <c r="A26" s="3" t="s">
        <v>37</v>
      </c>
      <c r="B26" s="3" t="s">
        <v>68</v>
      </c>
      <c r="C26" s="3"/>
      <c r="D26" s="3" t="s">
        <v>39</v>
      </c>
      <c r="E26" s="3"/>
      <c r="F26" s="7" t="n">
        <f aca="false">F14/F25</f>
        <v>0.0255219682784542</v>
      </c>
      <c r="G26" s="3" t="s">
        <v>69</v>
      </c>
      <c r="H26" s="5" t="s">
        <v>70</v>
      </c>
      <c r="I26" s="5" t="s">
        <v>71</v>
      </c>
    </row>
  </sheetData>
  <autoFilter ref="A1:I26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75"/>
    <col collapsed="false" customWidth="true" hidden="false" outlineLevel="0" max="3" min="3" style="1" width="40"/>
    <col collapsed="false" customWidth="true" hidden="false" outlineLevel="0" max="4" min="4" style="1" width="60"/>
    <col collapsed="false" customWidth="true" hidden="false" outlineLevel="0" max="5" min="5" style="1" width="70"/>
  </cols>
  <sheetData>
    <row r="1" customFormat="false" ht="15" hidden="false" customHeight="true" outlineLevel="0" collapsed="false">
      <c r="A1" s="2" t="s">
        <v>72</v>
      </c>
      <c r="B1" s="2" t="s">
        <v>73</v>
      </c>
      <c r="C1" s="2" t="s">
        <v>74</v>
      </c>
      <c r="D1" s="2" t="s">
        <v>7</v>
      </c>
      <c r="E1" s="2" t="s">
        <v>75</v>
      </c>
    </row>
    <row r="2" customFormat="false" ht="79.5" hidden="false" customHeight="true" outlineLevel="0" collapsed="false">
      <c r="A2" s="3" t="s">
        <v>76</v>
      </c>
      <c r="B2" s="5" t="s">
        <v>77</v>
      </c>
      <c r="C2" s="3" t="s">
        <v>78</v>
      </c>
      <c r="D2" s="3" t="s">
        <v>79</v>
      </c>
      <c r="E2" s="3" t="s">
        <v>80</v>
      </c>
    </row>
    <row r="3" customFormat="false" ht="79.5" hidden="false" customHeight="true" outlineLevel="0" collapsed="false">
      <c r="A3" s="5" t="s">
        <v>81</v>
      </c>
      <c r="B3" s="5" t="s">
        <v>82</v>
      </c>
      <c r="C3" s="5" t="s">
        <v>83</v>
      </c>
      <c r="D3" s="5" t="s">
        <v>84</v>
      </c>
      <c r="E3" s="3" t="s">
        <v>85</v>
      </c>
    </row>
    <row r="4" customFormat="false" ht="79.5" hidden="false" customHeight="true" outlineLevel="0" collapsed="false">
      <c r="A4" s="5" t="s">
        <v>86</v>
      </c>
      <c r="B4" s="3" t="s">
        <v>87</v>
      </c>
      <c r="C4" s="5" t="s">
        <v>88</v>
      </c>
      <c r="D4" s="5" t="s">
        <v>89</v>
      </c>
      <c r="E4" s="3" t="s">
        <v>90</v>
      </c>
    </row>
    <row r="5" customFormat="false" ht="79.5" hidden="false" customHeight="true" outlineLevel="0" collapsed="false">
      <c r="A5" s="3" t="s">
        <v>91</v>
      </c>
      <c r="B5" s="3" t="s">
        <v>92</v>
      </c>
      <c r="C5" s="5" t="s">
        <v>93</v>
      </c>
      <c r="D5" s="5" t="s">
        <v>94</v>
      </c>
      <c r="E5" s="3" t="s">
        <v>95</v>
      </c>
    </row>
    <row r="6" customFormat="false" ht="79.5" hidden="false" customHeight="true" outlineLevel="0" collapsed="false">
      <c r="A6" s="3" t="s">
        <v>96</v>
      </c>
      <c r="B6" s="3" t="s">
        <v>97</v>
      </c>
      <c r="C6" s="5" t="s">
        <v>98</v>
      </c>
      <c r="D6" s="5" t="s">
        <v>99</v>
      </c>
      <c r="E6" s="3" t="s">
        <v>100</v>
      </c>
    </row>
    <row r="7" customFormat="false" ht="79.5" hidden="false" customHeight="true" outlineLevel="0" collapsed="false">
      <c r="A7" s="5" t="s">
        <v>101</v>
      </c>
      <c r="B7" s="5" t="s">
        <v>102</v>
      </c>
      <c r="C7" s="3" t="s">
        <v>103</v>
      </c>
      <c r="D7" s="3" t="s">
        <v>104</v>
      </c>
      <c r="E7" s="3" t="s">
        <v>105</v>
      </c>
    </row>
    <row r="8" customFormat="false" ht="79.5" hidden="false" customHeight="true" outlineLevel="0" collapsed="false">
      <c r="A8" s="3" t="s">
        <v>106</v>
      </c>
      <c r="B8" s="3" t="s">
        <v>107</v>
      </c>
      <c r="C8" s="3" t="s">
        <v>108</v>
      </c>
      <c r="D8" s="3" t="s">
        <v>109</v>
      </c>
      <c r="E8" s="3" t="s">
        <v>110</v>
      </c>
    </row>
    <row r="9" customFormat="false" ht="79.5" hidden="false" customHeight="true" outlineLevel="0" collapsed="false">
      <c r="A9" s="3" t="s">
        <v>111</v>
      </c>
      <c r="B9" s="3" t="s">
        <v>112</v>
      </c>
      <c r="C9" s="3" t="s">
        <v>113</v>
      </c>
      <c r="D9" s="3" t="s">
        <v>114</v>
      </c>
      <c r="E9" s="3" t="s">
        <v>115</v>
      </c>
    </row>
    <row r="10" customFormat="false" ht="79.5" hidden="false" customHeight="true" outlineLevel="0" collapsed="false">
      <c r="A10" s="3" t="s">
        <v>116</v>
      </c>
      <c r="B10" s="3" t="s">
        <v>117</v>
      </c>
      <c r="C10" s="3" t="s">
        <v>118</v>
      </c>
      <c r="D10" s="3" t="s">
        <v>119</v>
      </c>
      <c r="E10" s="3" t="s">
        <v>120</v>
      </c>
    </row>
    <row r="11" customFormat="false" ht="79.5" hidden="false" customHeight="true" outlineLevel="0" collapsed="false">
      <c r="A11" s="3" t="s">
        <v>121</v>
      </c>
      <c r="B11" s="3" t="s">
        <v>122</v>
      </c>
      <c r="C11" s="5" t="s">
        <v>123</v>
      </c>
      <c r="D11" s="3" t="s">
        <v>124</v>
      </c>
      <c r="E11" s="3" t="s">
        <v>125</v>
      </c>
    </row>
    <row r="12" customFormat="false" ht="79.5" hidden="false" customHeight="true" outlineLevel="0" collapsed="false">
      <c r="A12" s="3" t="s">
        <v>126</v>
      </c>
      <c r="B12" s="3" t="s">
        <v>127</v>
      </c>
      <c r="C12" s="3" t="s">
        <v>128</v>
      </c>
      <c r="D12" s="3" t="s">
        <v>129</v>
      </c>
      <c r="E12" s="3" t="s">
        <v>130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8"/>
    <col collapsed="false" customWidth="true" hidden="false" outlineLevel="0" max="3" min="3" style="1" width="60"/>
    <col collapsed="false" customWidth="true" hidden="false" outlineLevel="0" max="4" min="4" style="1" width="70"/>
    <col collapsed="false" customWidth="true" hidden="false" outlineLevel="0" max="5" min="5" style="1" width="75"/>
    <col collapsed="false" customWidth="true" hidden="false" outlineLevel="0" max="6" min="6" style="1" width="18"/>
  </cols>
  <sheetData>
    <row r="1" customFormat="false" ht="15" hidden="false" customHeight="true" outlineLevel="0" collapsed="false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</row>
    <row r="2" customFormat="false" ht="79.5" hidden="false" customHeight="true" outlineLevel="0" collapsed="false">
      <c r="A2" s="5" t="s">
        <v>137</v>
      </c>
      <c r="B2" s="5" t="s">
        <v>138</v>
      </c>
      <c r="C2" s="5" t="s">
        <v>139</v>
      </c>
      <c r="D2" s="3" t="s">
        <v>140</v>
      </c>
      <c r="E2" s="3" t="s">
        <v>141</v>
      </c>
      <c r="F2" s="3" t="s">
        <v>142</v>
      </c>
    </row>
    <row r="3" customFormat="false" ht="79.5" hidden="false" customHeight="true" outlineLevel="0" collapsed="false">
      <c r="A3" s="5" t="s">
        <v>143</v>
      </c>
      <c r="B3" s="5" t="s">
        <v>138</v>
      </c>
      <c r="C3" s="5" t="s">
        <v>144</v>
      </c>
      <c r="D3" s="3" t="s">
        <v>145</v>
      </c>
      <c r="E3" s="3" t="s">
        <v>146</v>
      </c>
      <c r="F3" s="3" t="s">
        <v>142</v>
      </c>
    </row>
    <row r="4" customFormat="false" ht="79.5" hidden="false" customHeight="true" outlineLevel="0" collapsed="false">
      <c r="A4" s="5" t="s">
        <v>66</v>
      </c>
      <c r="B4" s="5" t="s">
        <v>138</v>
      </c>
      <c r="C4" s="5" t="s">
        <v>147</v>
      </c>
      <c r="D4" s="3" t="s">
        <v>148</v>
      </c>
      <c r="E4" s="3" t="s">
        <v>149</v>
      </c>
      <c r="F4" s="3" t="s">
        <v>142</v>
      </c>
    </row>
    <row r="5" customFormat="false" ht="79.5" hidden="false" customHeight="true" outlineLevel="0" collapsed="false">
      <c r="A5" s="5" t="s">
        <v>150</v>
      </c>
      <c r="B5" s="5" t="s">
        <v>151</v>
      </c>
      <c r="C5" s="3" t="s">
        <v>152</v>
      </c>
      <c r="D5" s="3" t="s">
        <v>153</v>
      </c>
      <c r="E5" s="3" t="s">
        <v>154</v>
      </c>
      <c r="F5" s="3" t="s">
        <v>142</v>
      </c>
    </row>
    <row r="6" customFormat="false" ht="79.5" hidden="false" customHeight="true" outlineLevel="0" collapsed="false">
      <c r="A6" s="5" t="s">
        <v>155</v>
      </c>
      <c r="B6" s="5" t="s">
        <v>156</v>
      </c>
      <c r="C6" s="3" t="s">
        <v>157</v>
      </c>
      <c r="D6" s="5" t="s">
        <v>158</v>
      </c>
      <c r="E6" s="3" t="s">
        <v>159</v>
      </c>
      <c r="F6" s="3" t="s">
        <v>142</v>
      </c>
    </row>
    <row r="7" customFormat="false" ht="79.5" hidden="false" customHeight="true" outlineLevel="0" collapsed="false">
      <c r="A7" s="5" t="s">
        <v>160</v>
      </c>
      <c r="B7" s="5" t="s">
        <v>161</v>
      </c>
      <c r="C7" s="3" t="s">
        <v>162</v>
      </c>
      <c r="D7" s="3" t="s">
        <v>163</v>
      </c>
      <c r="E7" s="3" t="s">
        <v>164</v>
      </c>
      <c r="F7" s="3" t="s">
        <v>142</v>
      </c>
    </row>
    <row r="8" customFormat="false" ht="79.5" hidden="false" customHeight="true" outlineLevel="0" collapsed="false">
      <c r="A8" s="5" t="s">
        <v>165</v>
      </c>
      <c r="B8" s="3" t="s">
        <v>166</v>
      </c>
      <c r="C8" s="3" t="s">
        <v>167</v>
      </c>
      <c r="D8" s="3" t="s">
        <v>168</v>
      </c>
      <c r="E8" s="3" t="s">
        <v>169</v>
      </c>
      <c r="F8" s="3" t="s">
        <v>170</v>
      </c>
    </row>
    <row r="9" customFormat="false" ht="79.5" hidden="false" customHeight="true" outlineLevel="0" collapsed="false">
      <c r="A9" s="5" t="s">
        <v>171</v>
      </c>
      <c r="B9" s="3" t="s">
        <v>172</v>
      </c>
      <c r="C9" s="3" t="s">
        <v>173</v>
      </c>
      <c r="D9" s="3" t="s">
        <v>174</v>
      </c>
      <c r="E9" s="3" t="s">
        <v>175</v>
      </c>
      <c r="F9" s="3" t="s">
        <v>170</v>
      </c>
    </row>
    <row r="10" customFormat="false" ht="79.5" hidden="false" customHeight="true" outlineLevel="0" collapsed="false">
      <c r="A10" s="5" t="s">
        <v>176</v>
      </c>
      <c r="B10" s="3" t="s">
        <v>177</v>
      </c>
      <c r="C10" s="3" t="s">
        <v>178</v>
      </c>
      <c r="D10" s="3" t="s">
        <v>179</v>
      </c>
      <c r="E10" s="3" t="s">
        <v>180</v>
      </c>
      <c r="F10" s="3" t="s">
        <v>170</v>
      </c>
    </row>
    <row r="11" customFormat="false" ht="79.5" hidden="false" customHeight="true" outlineLevel="0" collapsed="false">
      <c r="A11" s="5" t="s">
        <v>181</v>
      </c>
      <c r="B11" s="3" t="s">
        <v>182</v>
      </c>
      <c r="C11" s="3" t="s">
        <v>183</v>
      </c>
      <c r="D11" s="3" t="s">
        <v>184</v>
      </c>
      <c r="E11" s="3" t="s">
        <v>185</v>
      </c>
      <c r="F11" s="3" t="s">
        <v>170</v>
      </c>
    </row>
    <row r="12" customFormat="false" ht="79.5" hidden="false" customHeight="true" outlineLevel="0" collapsed="false">
      <c r="A12" s="5" t="s">
        <v>186</v>
      </c>
      <c r="B12" s="3" t="s">
        <v>187</v>
      </c>
      <c r="C12" s="3" t="s">
        <v>188</v>
      </c>
      <c r="D12" s="3" t="s">
        <v>189</v>
      </c>
      <c r="E12" s="3" t="s">
        <v>190</v>
      </c>
      <c r="F12" s="3" t="s">
        <v>170</v>
      </c>
    </row>
    <row r="13" customFormat="false" ht="79.5" hidden="false" customHeight="true" outlineLevel="0" collapsed="false">
      <c r="A13" s="5" t="s">
        <v>191</v>
      </c>
      <c r="B13" s="3" t="s">
        <v>192</v>
      </c>
      <c r="C13" s="3" t="s">
        <v>193</v>
      </c>
      <c r="D13" s="3" t="s">
        <v>194</v>
      </c>
      <c r="E13" s="3" t="s">
        <v>195</v>
      </c>
      <c r="F13" s="3" t="s">
        <v>170</v>
      </c>
    </row>
    <row r="14" customFormat="false" ht="79.5" hidden="false" customHeight="true" outlineLevel="0" collapsed="false">
      <c r="A14" s="5" t="s">
        <v>196</v>
      </c>
      <c r="B14" s="3" t="s">
        <v>197</v>
      </c>
      <c r="C14" s="5" t="s">
        <v>198</v>
      </c>
      <c r="D14" s="3" t="s">
        <v>199</v>
      </c>
      <c r="E14" s="3" t="s">
        <v>200</v>
      </c>
      <c r="F14" s="3" t="s">
        <v>170</v>
      </c>
    </row>
    <row r="15" customFormat="false" ht="79.5" hidden="false" customHeight="true" outlineLevel="0" collapsed="false">
      <c r="A15" s="5" t="s">
        <v>201</v>
      </c>
      <c r="B15" s="3" t="s">
        <v>202</v>
      </c>
      <c r="C15" s="5" t="s">
        <v>203</v>
      </c>
      <c r="D15" s="5" t="s">
        <v>204</v>
      </c>
      <c r="E15" s="3" t="s">
        <v>205</v>
      </c>
      <c r="F15" s="3" t="s">
        <v>170</v>
      </c>
    </row>
    <row r="16" customFormat="false" ht="79.5" hidden="false" customHeight="true" outlineLevel="0" collapsed="false">
      <c r="A16" s="5" t="s">
        <v>206</v>
      </c>
      <c r="B16" s="3" t="s">
        <v>207</v>
      </c>
      <c r="C16" s="5" t="s">
        <v>208</v>
      </c>
      <c r="D16" s="3" t="s">
        <v>209</v>
      </c>
      <c r="E16" s="3" t="s">
        <v>210</v>
      </c>
      <c r="F16" s="3" t="s">
        <v>211</v>
      </c>
    </row>
  </sheetData>
  <autoFilter ref="A1:F16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2026-10-13T18:02:15Z</dcterms:created>
  <dc:creator>openpyxl</dc:creator>
  <dc:description/>
  <dc:language>en-US</dc:language>
  <cp:lastModifiedBy/>
  <dcterms:modified xsi:type="dcterms:W3CDTF">2026-10-13T18:03:21Z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
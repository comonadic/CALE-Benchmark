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459f97d8d14d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控制台" sheetId="1" r:id="R1c27ca57bc194d29"/>
    <x:sheet xmlns:r="http://schemas.openxmlformats.org/officeDocument/2006/relationships" name="提案决策" sheetId="2" r:id="Rec67dce8db0842ea"/>
    <x:sheet xmlns:r="http://schemas.openxmlformats.org/officeDocument/2006/relationships" name="价格筛查" sheetId="3" r:id="Re0c0d726ad814a9e"/>
    <x:sheet xmlns:r="http://schemas.openxmlformats.org/officeDocument/2006/relationships" name="原始台账" sheetId="4" r:id="R38152c2aa7eb44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#,##0"/>
    <x:numFmt numFmtId="202" formatCode="0"/>
    <x:numFmt numFmtId="203" formatCode="0.00"/>
    <x:numFmt numFmtId="204" formatCode="0.00%"/>
  </x:numFmts>
  <x:fonts count="4">
    <x:font>
      <x:sz val="11"/>
      <x:name val="Carlito"/>
    </x:font>
    <x:font>
      <x:sz val="10"/>
      <x:color rgb="FF202024"/>
      <x:name val="Arial"/>
    </x:font>
    <x:font>
      <x:b/>
      <x:sz val="14"/>
      <x:color rgb="FF24202C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F354C"/>
      </x:patternFill>
    </x:fill>
    <x:fill>
      <x:patternFill patternType="solid">
        <x:fgColor rgb="FFFFF1CF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/>
    </x:xf>
    <x:xf numFmtId="201" fontId="1" fillId="0" borderId="0" xfId="0" applyNumberFormat="1" applyFont="1" applyFill="1" applyBorder="1" applyAlignment="1">
      <x:alignment vertical="top"/>
    </x:xf>
    <x:xf numFmtId="202" fontId="1" fillId="0" borderId="0" xfId="0" applyNumberFormat="1" applyFont="1" applyFill="1" applyBorder="1" applyAlignment="1">
      <x:alignment vertical="top"/>
    </x:xf>
    <x:xf numFmtId="203" fontId="1" fillId="0" borderId="0" xfId="0" applyNumberFormat="1" applyFont="1" applyFill="1" applyBorder="1" applyAlignment="1">
      <x:alignment vertical="top"/>
    </x:xf>
    <x:xf numFmtId="204" fontId="1" fillId="0" borderId="0" xfId="0" applyNumberFormat="1" applyFont="1" applyFill="1" applyBorder="1" applyAlignment="1">
      <x:alignment vertical="top"/>
    </x:xf>
  </x:cellXfs>
  <x:cellStyles count="1">
    <x:cellStyle name="Normal" xfId="0"/>
  </x:cellStyles>
  <x:dxfs count="3">
    <x:dxf>
      <x:font>
        <x:color rgb="FF8D3226"/>
      </x:font>
      <x:fill>
        <x:patternFill>
          <x:bgColor rgb="FFFDE5DF"/>
        </x:patternFill>
      </x:fill>
    </x:dxf>
    <x:dxf>
      <x:font>
        <x:b/>
        <x:color rgb="FF8D3226"/>
      </x:font>
      <x:fill>
        <x:patternFill>
          <x:bgColor rgb="FFFDE5DF"/>
        </x:patternFill>
      </x:fill>
    </x:dxf>
    <x:dxf>
      <x:font>
        <x:color rgb="FF7D5618"/>
      </x:font>
      <x:fill>
        <x:patternFill>
          <x:bgColor rgb="FFFFF1C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24a6555ebb43b9" /><Relationship Type="http://schemas.openxmlformats.org/officeDocument/2006/relationships/theme" Target="/xl/theme/theme1.xml" Id="Rbc5ad6815c244489" /><Relationship Type="http://schemas.openxmlformats.org/officeDocument/2006/relationships/sharedStrings" Target="/xl/sharedStrings.xml" Id="Rc4de417fbb504451" /><Relationship Type="http://schemas.openxmlformats.org/officeDocument/2006/relationships/worksheet" Target="/xl/worksheets/sheet1.xml" Id="R1c27ca57bc194d29" /><Relationship Type="http://schemas.openxmlformats.org/officeDocument/2006/relationships/worksheet" Target="/xl/worksheets/sheet2.xml" Id="Rec67dce8db0842ea" /><Relationship Type="http://schemas.openxmlformats.org/officeDocument/2006/relationships/worksheet" Target="/xl/worksheets/sheet3.xml" Id="Re0c0d726ad814a9e" /><Relationship Type="http://schemas.openxmlformats.org/officeDocument/2006/relationships/worksheet" Target="/xl/worksheets/sheet4.xml" Id="R38152c2aa7eb4455" /></Relationships>
</file>

<file path=xl/tables/table1.xml><?xml version="1.0" encoding="utf-8"?>
<x:table xmlns:x="http://schemas.openxmlformats.org/spreadsheetml/2006/main" id="1" name="ObligationControls" displayName="ObligationControls" ref="A6:J15" headerRowCount="1" totalsRowCount="0" totalsRowShown="0">
  <x:autoFilter ref="A6:J15"/>
  <x:tableColumns count="10">
    <x:tableColumn id="1" name="ID"/>
    <x:tableColumn id="2" name="义务/持续事项"/>
    <x:tableColumn id="3" name="适用主体和触发"/>
    <x:tableColumn id="4" name="责任人/独立复核"/>
    <x:tableColumn id="5" name="执行控制"/>
    <x:tableColumn id="6" name="留痕证据"/>
    <x:tableColumn id="7" name="监测及升级"/>
    <x:tableColumn id="8" name="后续行动/内部目标"/>
    <x:tableColumn id="9" name="待执行状态"/>
    <x:tableColumn id="10" name="来源定位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ProposalDecisions" displayName="ProposalDecisions" ref="A6:H18" headerRowCount="1" totalsRowCount="0" totalsRowShown="0">
  <x:autoFilter ref="A6:H18"/>
  <x:tableColumns count="8">
    <x:tableColumn id="1" name="提案ID"/>
    <x:tableColumn id="2" name="建议结论"/>
    <x:tableColumn id="3" name="事实角色和关键依据"/>
    <x:tableColumn id="4" name="义务/定位"/>
    <x:tableColumn id="5" name="审批条件与替换动作"/>
    <x:tableColumn id="6" name="留痕/补件"/>
    <x:tableColumn id="7" name="负责人/目标"/>
    <x:tableColumn id="8" name="状态"/>
  </x:tableColumns>
  <x:tableStyleInfo name="TableStyleMedium2" showFirstColumn="0" showLastColumn="0" showRowStripes="0" showColumnStripes="0"/>
</x:table>
</file>

<file path=xl/tables/table3.xml><?xml version="1.0" encoding="utf-8"?>
<x:table xmlns:x="http://schemas.openxmlformats.org/spreadsheetml/2006/main" id="5" name="CityPriceScreen" displayName="CityPriceScreen" ref="A7:N15" headerRowCount="1" totalsRowCount="0" totalsRowShown="0">
  <x:autoFilter ref="A7:N15"/>
  <x:tableColumns count="14">
    <x:tableColumn id="1" name="提案ID"/>
    <x:tableColumn id="2" name="城市"/>
    <x:tableColumn id="3" name="历史主体"/>
    <x:tableColumn id="4" name="纳入行数"/>
    <x:tableColumn id="5" name="历史屏幕周"/>
    <x:tableColumn id="6" name="历史净金额"/>
    <x:tableColumn id="7" name="历史代理价"/>
    <x:tableColumn id="8" name="计划屏幕周"/>
    <x:tableColumn id="9" name="计划净金额"/>
    <x:tableColumn id="10" name="计划代理价"/>
    <x:tableColumn id="11" name="差额（元/周）"/>
    <x:tableColumn id="12" name="比例差"/>
    <x:tableColumn id="13" name="算数信号"/>
    <x:tableColumn id="14" name="后续价格审核"/>
  </x:tableColumns>
  <x:tableStyleInfo name="TableStyleMedium2" showFirstColumn="0" showLastColumn="0" showRowStripes="0" showColumnStripes="0"/>
</x:table>
</file>

<file path=xl/tables/table4.xml><?xml version="1.0" encoding="utf-8"?>
<x:table xmlns:x="http://schemas.openxmlformats.org/spreadsheetml/2006/main" id="3" name="HistoricalLedger" displayName="HistoricalLedger" ref="A8:G24" headerRowCount="1" totalsRowCount="0" totalsRowShown="0">
  <x:autoFilter ref="A8:G24"/>
  <x:tableColumns count="7">
    <x:tableColumn id="1" name="成交ID"/>
    <x:tableColumn id="2" name="成交日期"/>
    <x:tableColumn id="3" name="城市"/>
    <x:tableColumn id="4" name="历史主体"/>
    <x:tableColumn id="5" name="屏幕周数"/>
    <x:tableColumn id="6" name="净金额（人民币）"/>
    <x:tableColumn id="7" name="窗口归属"/>
  </x:tableColumns>
  <x:tableStyleInfo name="TableStyleMedium2" showFirstColumn="0" showLastColumn="0" showRowStripes="0" showColumnStripes="0"/>
</x:table>
</file>

<file path=xl/tables/table5.xml><?xml version="1.0" encoding="utf-8"?>
<x:table xmlns:x="http://schemas.openxmlformats.org/spreadsheetml/2006/main" id="4" name="AnnualPricePlans" displayName="AnnualPricePlans" ref="A29:F33" headerRowCount="1" totalsRowCount="0" totalsRowShown="0">
  <x:autoFilter ref="A29:F33"/>
  <x:tableColumns count="6">
    <x:tableColumn id="1" name="提案ID"/>
    <x:tableColumn id="2" name="城市"/>
    <x:tableColumn id="3" name="计划年度"/>
    <x:tableColumn id="4" name="计划屏幕周数"/>
    <x:tableColumn id="5" name="计划净金额（人民币）"/>
    <x:tableColumn id="6" name="理由声称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6251dca0b0442e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96155478efc4ff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abef4102c294e9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dc5d58f02c54f69" /><Relationship Type="http://schemas.openxmlformats.org/officeDocument/2006/relationships/table" Target="/xl/tables/table5.xml" Id="R1c75062a8fd141e6" /></Relationships>
</file>

<file path=xl/worksheets/sheet1.xml><?xml version="1.0" encoding="utf-8"?>
<x:worksheet xmlns:x="http://schemas.openxmlformats.org/spreadsheetml/2006/main">
  <x:sheetPr>
    <x:tabColor rgb="FF635380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9" hidden="0" customWidth="1"/>
    <x:col min="2" max="2" width="32" hidden="0" customWidth="1"/>
    <x:col min="3" max="3" width="18" hidden="0" customWidth="1"/>
    <x:col min="4" max="4" width="21" hidden="0" customWidth="1"/>
    <x:col min="5" max="5" width="29" hidden="0" customWidth="1"/>
    <x:col min="6" max="6" width="33" hidden="0" customWidth="1"/>
    <x:col min="7" max="7" width="31" hidden="0" customWidth="1"/>
    <x:col min="8" max="8" width="27" hidden="0" customWidth="1"/>
    <x:col min="9" max="9" width="21" hidden="0" customWidth="1"/>
    <x:col min="10" max="10" width="19" hidden="0" customWidth="1"/>
  </x:cols>
  <x:sheetData>
    <x:row r="2" ht="25" customHeight="1">
      <x:c r="A2" s="3" t="str">
        <x:v>限制性条件执行控制台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24" customHeight="1">
      <x:c r="A4" s="2" t="str">
        <x:v>事项时点：2026-10-11。内部上线目标：2026-10-20。下列频率及审批分工为实施建议。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34" customHeight="1">
      <x:c r="A6" s="9" t="str">
        <x:v>ID</x:v>
      </x:c>
      <x:c r="B6" s="9" t="str">
        <x:v>义务/持续事项</x:v>
      </x:c>
      <x:c r="C6" s="9" t="str">
        <x:v>适用主体和触发</x:v>
      </x:c>
      <x:c r="D6" s="9" t="str">
        <x:v>责任人/独立复核</x:v>
      </x:c>
      <x:c r="E6" s="9" t="str">
        <x:v>执行控制</x:v>
      </x:c>
      <x:c r="F6" s="9" t="str">
        <x:v>留痕证据</x:v>
      </x:c>
      <x:c r="G6" s="9" t="str">
        <x:v>监测及升级</x:v>
      </x:c>
      <x:c r="H6" s="9" t="str">
        <x:v>后续行动/内部目标</x:v>
      </x:c>
      <x:c r="I6" s="9" t="str">
        <x:v>待执行状态</x:v>
      </x:c>
      <x:c r="J6" s="9" t="str">
        <x:v>来源定位</x:v>
      </x:c>
    </x:row>
    <x:row r="7" ht="70" customHeight="1">
      <x:c r="A7" s="4" t="str">
        <x:v>O1</x:v>
      </x:c>
      <x:c r="B7" s="4" t="str">
        <x:v>履行现有客户合同所有商业条款；保留客户自身实质违约或自主终止/修改例外</x:v>
      </x:c>
      <x:c r="C7" s="4" t="str">
        <x:v>集中双方及集中后实体；既有客户合同修改/退出</x:v>
      </x:c>
      <x:c r="D7" s="4" t="str">
        <x:v>销售负责人；法务复核</x:v>
      </x:c>
      <x:c r="E7" s="4" t="str">
        <x:v>旧合同清册锁定；变更先核例外证据。不得以集中统一政策单方减损</x:v>
      </x:c>
      <x:c r="F7" s="4" t="str">
        <x:v>签署合同及版本、客户主动请求、违约事实/重要性证据、审批记录</x:v>
      </x:c>
      <x:c r="G7" s="4" t="str">
        <x:v>逐次审改、每月抽查。无例外证据的单方变更暂停并报法务</x:v>
      </x:c>
      <x:c r="H7" s="4" t="str">
        <x:v>P01撤回；P02核实自主性与结算后可附条件办理</x:v>
      </x:c>
      <x:c r="I7" s="10" t="str">
        <x:v>待执行</x:v>
      </x:c>
      <x:c r="J7" s="4" t="str">
        <x:v>L034 P31-P32</x:v>
      </x:c>
    </x:row>
    <x:row r="8" ht="70" customHeight="1">
      <x:c r="A8" s="4" t="str">
        <x:v>O2</x:v>
      </x:c>
      <x:c r="B8" s="4" t="str">
        <x:v>客户服务不低于交易前水平，包括维护、画面、数据反馈</x:v>
      </x:c>
      <x:c r="C8" s="4" t="str">
        <x:v>集中双方及集中后实体；服务标准/系统变更</x:v>
      </x:c>
      <x:c r="D8" s="4" t="str">
        <x:v>客户服务负责人；法务/内审复核</x:v>
      </x:c>
      <x:c r="E8" s="4" t="str">
        <x:v>冻结交易前服务基线；变更上线前对比；降级阻断</x:v>
      </x:c>
      <x:c r="F8" s="4" t="str">
        <x:v>基线SLA、服务日志、画面参数、反馈记录、客户投诉、整改证据</x:v>
      </x:c>
      <x:c r="G8" s="4" t="str">
        <x:v>每月指标监测和变更前审查；任何基线下降先暂停</x:v>
      </x:c>
      <x:c r="H8" s="4" t="str">
        <x:v>P03恢复48小时、1080p、每周反馈或证明不降低的替代方案</x:v>
      </x:c>
      <x:c r="I8" s="10" t="str">
        <x:v>待执行</x:v>
      </x:c>
      <x:c r="J8" s="4" t="str">
        <x:v>L034 P31,P33</x:v>
      </x:c>
    </x:row>
    <x:row r="9" ht="70" customHeight="1">
      <x:c r="A9" s="4" t="str">
        <x:v>O3</x:v>
      </x:c>
      <x:c r="B9" s="4" t="str">
        <x:v>没有正当理由，各城市年度实际成交价不得超过两方各自对应城市历史价</x:v>
      </x:c>
      <x:c r="C9" s="4" t="str">
        <x:v>集中后实体；城市定价及年度实际价格</x:v>
      </x:c>
      <x:c r="D9" s="4" t="str">
        <x:v>定价与财务负责人；法务复核</x:v>
      </x:c>
      <x:c r="E9" s="4" t="str">
        <x:v>分城分历史主体筛查；对超过或缺失锁审批。取附件后校准法定口径</x:v>
      </x:c>
      <x:c r="F9" s="4" t="str">
        <x:v>原始成交/折扣/退款、可比单元、历史代理与实际年度价格、成本证据、例外审批</x:v>
      </x:c>
      <x:c r="G9" s="4" t="str">
        <x:v>月度累计预警、年度实际核算；超过任一可得代理或资料缺失报法务</x:v>
      </x:c>
      <x:c r="H9" s="4" t="str">
        <x:v>所有P04仅代理筛查；获取承诺方案、广州历史和北京成本证据</x:v>
      </x:c>
      <x:c r="I9" s="10" t="str">
        <x:v>待补证</x:v>
      </x:c>
      <x:c r="J9" s="4" t="str">
        <x:v>L034 P34,P38</x:v>
      </x:c>
    </x:row>
    <x:row r="10" ht="70" customHeight="1">
      <x:c r="A10" s="4" t="str">
        <x:v>O4</x:v>
      </x:c>
      <x:c r="B10" s="4" t="str">
        <x:v>公平合理无歧视；没有正当理由，不拒供、不搭售/不合理附加条件</x:v>
      </x:c>
      <x:c r="C10" s="4" t="str">
        <x:v>集中双方及集中后实体；新客户报价、拒供、差别条件</x:v>
      </x:c>
      <x:c r="D10" s="4" t="str">
        <x:v>销售负责人；法务复核</x:v>
      </x:c>
      <x:c r="E10" s="4" t="str">
        <x:v>独立电梯服务报价；客观标准公开统一；拒供/例外先书面审证</x:v>
      </x:c>
      <x:c r="F10" s="4" t="str">
        <x:v>报价版本、客户请求、拒供理由证据、可比客户条件、审批</x:v>
      </x:c>
      <x:c r="G10" s="4" t="str">
        <x:v>逐次例外复核、月度拒供/搭售抽查；无证拒供与强制搭售升级</x:v>
      </x:c>
      <x:c r="H10" s="4" t="str">
        <x:v>P05删除影院必购条件，按可证的客观标准审查</x:v>
      </x:c>
      <x:c r="I10" s="10" t="str">
        <x:v>待执行</x:v>
      </x:c>
      <x:c r="J10" s="4" t="str">
        <x:v>L034 P31,P35</x:v>
      </x:c>
    </x:row>
    <x:row r="11" ht="70" customHeight="1">
      <x:c r="A11" s="4" t="str">
        <x:v>O5</x:v>
      </x:c>
      <x:c r="B11" s="4" t="str">
        <x:v>放弃既有生效独家全部相关权利；新签/续签不得独家或自动续约</x:v>
      </x:c>
      <x:c r="C11" s="4" t="str">
        <x:v>集中双方及集中后实体；物业旧权利行使、新签/续签</x:v>
      </x:c>
      <x:c r="D11" s="4" t="str">
        <x:v>物业资源负责人；法务复核</x:v>
      </x:c>
      <x:c r="E11" s="4" t="str">
        <x:v>旧独家清册与权利放弃通知；阻断违约金/排他权利行使；模板去独家、去自动续约</x:v>
      </x:c>
      <x:c r="F11" s="4" t="str">
        <x:v>旧合同与权利清册、放弃通知送达、系统停止行权、新/续签版本与审批</x:v>
      </x:c>
      <x:c r="G11" s="4" t="str">
        <x:v>立即盘点、逐次签约审核、每月抽查；仍主张排他权利或发现禁条款报法务</x:v>
      </x:c>
      <x:c r="H11" s="4" t="str">
        <x:v>P06停止独家行权；P07替换C；保留合法的其他条款</x:v>
      </x:c>
      <x:c r="I11" s="10" t="str">
        <x:v>待执行</x:v>
      </x:c>
      <x:c r="J11" s="4" t="str">
        <x:v>L034 P31,P36</x:v>
      </x:c>
    </x:row>
    <x:row r="12" ht="70" customHeight="1">
      <x:c r="A12" s="4" t="str">
        <x:v>O6</x:v>
      </x:c>
      <x:c r="B12" s="4" t="str">
        <x:v>完善制度、建立健全合规体系、定期培训</x:v>
      </x:c>
      <x:c r="C12" s="4" t="str">
        <x:v>集中双方及集中后实体；全员与高风险岗位、新入职</x:v>
      </x:c>
      <x:c r="D12" s="4" t="str">
        <x:v>培训负责人；法务/内审复核</x:v>
      </x:c>
      <x:c r="E12" s="4" t="str">
        <x:v>制度有权责、例外审批、举报整改；建议每季度高风险培训+入职培训</x:v>
      </x:c>
      <x:c r="F12" s="4" t="str">
        <x:v>制度版本、人员名册、教材/签到/测试、缺训补训、例外台账</x:v>
      </x:c>
      <x:c r="G12" s="4" t="str">
        <x:v>季度覆盖复核、重大提案前培训；漏岗/缺训或无复核例外升级</x:v>
      </x:c>
      <x:c r="H12" s="4" t="str">
        <x:v>P08替换FAQ-only；销售不得自批重大例外</x:v>
      </x:c>
      <x:c r="I12" s="10" t="str">
        <x:v>待执行</x:v>
      </x:c>
      <x:c r="J12" s="4" t="str">
        <x:v>L034 P31,P37</x:v>
      </x:c>
    </x:row>
    <x:row r="13" ht="70" customHeight="1">
      <x:c r="A13" s="4" t="str">
        <x:v>R1</x:v>
      </x:c>
      <x:c r="B13" s="4" t="str">
        <x:v>自生效起每年报告承诺履行至条件终止；附件也有法律约束力</x:v>
      </x:c>
      <x:c r="C13" s="4" t="str">
        <x:v>交易双方及集中后实体；年度履行周期</x:v>
      </x:c>
      <x:c r="D13" s="4" t="str">
        <x:v>报告联络人；法务/内审；实施负责人签核</x:v>
      </x:c>
      <x:c r="E13" s="4" t="str">
        <x:v>按义务建证据索引、事件/例外/整改清单；取得附件校准报告期与提交细节</x:v>
      </x:c>
      <x:c r="F13" s="4" t="str">
        <x:v>年度履行报告、各义务证据索引、审计记录、签核、报送回执</x:v>
      </x:c>
      <x:c r="G13" s="4" t="str">
        <x:v>季度归档、年度报送；建议首年2027-09-30内部报送目标，非公告法定截止</x:v>
      </x:c>
      <x:c r="H13" s="4" t="str">
        <x:v>每年重复；先取附件及主管机关确认报告要求</x:v>
      </x:c>
      <x:c r="I13" s="10" t="str">
        <x:v>待补证</x:v>
      </x:c>
      <x:c r="J13" s="4" t="str">
        <x:v>L034 P38</x:v>
      </x:c>
    </x:row>
    <x:row r="14" ht="70" customHeight="1">
      <x:c r="A14" s="4" t="str">
        <x:v>R2</x:v>
      </x:c>
      <x:c r="B14" s="4" t="str">
        <x:v>五年期满可申请解除；未经批准继续履行</x:v>
      </x:c>
      <x:c r="C14" s="4" t="str">
        <x:v>交易双方及集中后实体；拟停止任何控制/报告</x:v>
      </x:c>
      <x:c r="D14" s="4" t="str">
        <x:v>法务负责人；实施负责人</x:v>
      </x:c>
      <x:c r="E14" s="4" t="str">
        <x:v>2031-10-09仅内部五周年复核标记；核满期后备申请，系统只凭批准文件停止</x:v>
      </x:c>
      <x:c r="F14" s="4" t="str">
        <x:v>申请与竞争状况资料、监管决定、控制持续记录</x:v>
      </x:c>
      <x:c r="G14" s="4" t="str">
        <x:v>停止前强制法务核验；无批准自动延续并升级</x:v>
      </x:c>
      <x:c r="H14" s="4" t="str">
        <x:v>P09删除自动到期；申请不是自动解除</x:v>
      </x:c>
      <x:c r="I14" s="10" t="str">
        <x:v>待执行</x:v>
      </x:c>
      <x:c r="J14" s="4" t="str">
        <x:v>L034 P39,P41,P44</x:v>
      </x:c>
    </x:row>
    <x:row r="15" ht="70" customHeight="1">
      <x:c r="A15" s="4" t="str">
        <x:v>S1</x:v>
      </x:c>
      <x:c r="B15" s="4" t="str">
        <x:v>监管可通过受托人或自行监督检查；违反义务可依法处理</x:v>
      </x:c>
      <x:c r="C15" s="4" t="str">
        <x:v>交易双方及集中后实体；检查/资料请求/疑似违规</x:v>
      </x:c>
      <x:c r="D15" s="4" t="str">
        <x:v>报告联络人；法务/内审</x:v>
      </x:c>
      <x:c r="E15" s="4" t="str">
        <x:v>统一证据保全、请求响应及问题整改；疑似违规记录并按核定流程升级</x:v>
      </x:c>
      <x:c r="F15" s="4" t="str">
        <x:v>受托人或监管请求、提供清单、回执、整改闭环</x:v>
      </x:c>
      <x:c r="G15" s="4" t="str">
        <x:v>逐次响应、季度演练；证据缺失或违规线索及时升级</x:v>
      </x:c>
      <x:c r="H15" s="4" t="str">
        <x:v>取得附件后核定监督配合细节</x:v>
      </x:c>
      <x:c r="I15" s="10" t="str">
        <x:v>待执行</x:v>
      </x:c>
      <x:c r="J15" s="4" t="str">
        <x:v>L034 P40</x:v>
      </x:c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</x:sheetData>
  <x:dataValidations count="1">
    <x:dataValidation type="list" sqref="I7:I15">
      <x:formula1>"待执行,待补证,已完成,暂停"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6251dca0b0442eb"/>
  </x:tableParts>
</x:worksheet>
</file>

<file path=xl/worksheets/sheet2.xml><?xml version="1.0" encoding="utf-8"?>
<x:worksheet xmlns:x="http://schemas.openxmlformats.org/spreadsheetml/2006/main">
  <x:sheetPr>
    <x:tabColor rgb="FF635380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3" hidden="0" customWidth="1"/>
    <x:col min="2" max="2" width="20" hidden="0" customWidth="1"/>
    <x:col min="3" max="3" width="29" hidden="0" customWidth="1"/>
    <x:col min="4" max="4" width="28" hidden="0" customWidth="1"/>
    <x:col min="5" max="5" width="34" hidden="0" customWidth="1"/>
    <x:col min="6" max="6" width="29" hidden="0" customWidth="1"/>
    <x:col min="7" max="7" width="25" hidden="0" customWidth="1"/>
    <x:col min="8" max="8" width="22" hidden="0" customWidth="1"/>
  </x:cols>
  <x:sheetData>
    <x:row r="2" ht="25" customHeight="1">
      <x:c r="A2" s="3" t="str">
        <x:v>运营提案审批记录</x:v>
      </x:c>
      <x:c r="B2" s="2"/>
      <x:c r="C2" s="2"/>
      <x:c r="D2" s="2"/>
      <x:c r="E2" s="2"/>
      <x:c r="F2" s="2"/>
      <x:c r="G2" s="2"/>
      <x:c r="H2" s="2"/>
    </x:row>
    <x:row r="3" ht="24" customHeight="1">
      <x:c r="A3" s="2"/>
      <x:c r="B3" s="2"/>
      <x:c r="C3" s="2"/>
      <x:c r="D3" s="2"/>
      <x:c r="E3" s="2"/>
      <x:c r="F3" s="2"/>
      <x:c r="G3" s="2"/>
      <x:c r="H3" s="2"/>
    </x:row>
    <x:row r="4" ht="24" customHeight="1">
      <x:c r="A4" s="2" t="str">
        <x:v>待审批运营提案。状态及责任人由实施负责人审定后更新。</x:v>
      </x:c>
      <x:c r="B4" s="2"/>
      <x:c r="C4" s="2"/>
      <x:c r="D4" s="2"/>
      <x:c r="E4" s="2"/>
      <x:c r="F4" s="2"/>
      <x:c r="G4" s="2"/>
      <x:c r="H4" s="2"/>
    </x:row>
    <x:row r="5" ht="24" customHeight="1">
      <x:c r="A5" s="2"/>
      <x:c r="B5" s="2"/>
      <x:c r="C5" s="2"/>
      <x:c r="D5" s="2"/>
      <x:c r="E5" s="2"/>
      <x:c r="F5" s="2"/>
      <x:c r="G5" s="2"/>
      <x:c r="H5" s="2"/>
    </x:row>
    <x:row r="6" ht="34" customHeight="1">
      <x:c r="A6" s="9" t="str">
        <x:v>提案ID</x:v>
      </x:c>
      <x:c r="B6" s="9" t="str">
        <x:v>建议结论</x:v>
      </x:c>
      <x:c r="C6" s="9" t="str">
        <x:v>事实角色和关键依据</x:v>
      </x:c>
      <x:c r="D6" s="9" t="str">
        <x:v>义务/定位</x:v>
      </x:c>
      <x:c r="E6" s="9" t="str">
        <x:v>审批条件与替换动作</x:v>
      </x:c>
      <x:c r="F6" s="9" t="str">
        <x:v>留痕/补件</x:v>
      </x:c>
      <x:c r="G6" s="9" t="str">
        <x:v>负责人/目标</x:v>
      </x:c>
      <x:c r="H6" s="9" t="str">
        <x:v>状态</x:v>
      </x:c>
    </x:row>
    <x:row r="7" ht="68" customHeight="1">
      <x:c r="A7" s="4" t="str">
        <x:v>P01</x:v>
      </x:c>
      <x:c r="B7" s="4" t="str">
        <x:v>修改后执行</x:v>
      </x:c>
      <x:c r="C7" s="4" t="str">
        <x:v>无客户请求、无实质违约；集中统一政策不能自行构成合同例外</x:v>
      </x:c>
      <x:c r="D7" s="4" t="str">
        <x:v>O1；L034 P32；场景P01</x:v>
      </x:c>
      <x:c r="E7" s="4" t="str">
        <x:v>撤回取消20%续投折扣通知，继续原商业条款；另有合法自主变更需审证</x:v>
      </x:c>
      <x:c r="F7" s="4" t="str">
        <x:v>C-01签署版、撤回记录、合同清册</x:v>
      </x:c>
      <x:c r="G7" s="4" t="str">
        <x:v>销售/法务；2026-10-20前</x:v>
      </x:c>
      <x:c r="H7" s="10" t="str">
        <x:v>待改</x:v>
      </x:c>
    </x:row>
    <x:row r="8" ht="68" customHeight="1">
      <x:c r="A8" s="4" t="str">
        <x:v>P02</x:v>
      </x:c>
      <x:c r="B8" s="4" t="str">
        <x:v>附条件可办理</x:v>
      </x:c>
      <x:c r="C8" s="4" t="str">
        <x:v>客户邮件主动请求项目停止；仍需核自主性与结算</x:v>
      </x:c>
      <x:c r="D8" s="4" t="str">
        <x:v>O1；L034 P32；场景P02</x:v>
      </x:c>
      <x:c r="E8" s="4" t="str">
        <x:v>核实邮件及授权、无诱导/胁迫；书面终止及结算依法协商</x:v>
      </x:c>
      <x:c r="F8" s="4" t="str">
        <x:v>C-02原邮件、权限核验、沟通记录、终止书及结算</x:v>
      </x:c>
      <x:c r="G8" s="4" t="str">
        <x:v>销售/法务；办理前</x:v>
      </x:c>
      <x:c r="H8" s="10" t="str">
        <x:v>待补证</x:v>
      </x:c>
    </x:row>
    <x:row r="9" ht="68" customHeight="1">
      <x:c r="A9" s="4" t="str">
        <x:v>P03</x:v>
      </x:c>
      <x:c r="B9" s="4" t="str">
        <x:v>修改后执行</x:v>
      </x:c>
      <x:c r="C9" s="4" t="str">
        <x:v>48h改72h、1080p改720p、周报改月报均是基线下降</x:v>
      </x:c>
      <x:c r="D9" s="4" t="str">
        <x:v>O2；L034 P33；场景P03</x:v>
      </x:c>
      <x:c r="E9" s="4" t="str">
        <x:v>撤回降级，恢复基线；可证不降水平的技术替代可另审</x:v>
      </x:c>
      <x:c r="F9" s="4" t="str">
        <x:v>交易前SLA、变更对照、服务日志</x:v>
      </x:c>
      <x:c r="G9" s="4" t="str">
        <x:v>客服/内审；上线前</x:v>
      </x:c>
      <x:c r="H9" s="10" t="str">
        <x:v>待改</x:v>
      </x:c>
    </x:row>
    <x:row r="10" ht="68" customHeight="1">
      <x:c r="A10" s="4" t="str">
        <x:v>P04-SH</x:v>
      </x:c>
      <x:c r="B10" s="4" t="str">
        <x:v>暂停对外实施待补证</x:v>
      </x:c>
      <x:c r="C10" s="4" t="str">
        <x:v>高于新潮历史代理、低于分众代理；不能混用/择高</x:v>
      </x:c>
      <x:c r="D10" s="4" t="str">
        <x:v>O3；L034 P34；SH-F1等；价格筛查</x:v>
      </x:c>
      <x:c r="E10" s="4" t="str">
        <x:v>获取附件及基准口径；未核定前不批准对外价格，仅作预算筛查</x:v>
      </x:c>
      <x:c r="F10" s="4" t="str">
        <x:v>承诺附件、交易可比性、历史原始数、年度实际跟踪</x:v>
      </x:c>
      <x:c r="G10" s="4" t="str">
        <x:v>定价财务/法务；执行前</x:v>
      </x:c>
      <x:c r="H10" s="10" t="str">
        <x:v>待补证</x:v>
      </x:c>
    </x:row>
    <x:row r="11" ht="68" customHeight="1">
      <x:c r="A11" s="4" t="str">
        <x:v>P04-CD</x:v>
      </x:c>
      <x:c r="B11" s="4" t="str">
        <x:v>暂停对外实施待补证</x:v>
      </x:c>
      <x:c r="C11" s="4" t="str">
        <x:v>计划价低于两方可得代理，仍不是实际年价合法性结论</x:v>
      </x:c>
      <x:c r="D11" s="4" t="str">
        <x:v>O3/O4；L034 P34-P35；CD-F1等</x:v>
      </x:c>
      <x:c r="E11" s="4" t="str">
        <x:v>成都代理未超价，但先补附件、可比性及实际价格监测计划；全部城市统一暂停对外执行后再独立审批</x:v>
      </x:c>
      <x:c r="F11" s="4" t="str">
        <x:v>承诺附件、可比交易核验、全年实际台账</x:v>
      </x:c>
      <x:c r="G11" s="4" t="str">
        <x:v>定价财务/法务；执行前</x:v>
      </x:c>
      <x:c r="H11" s="10" t="str">
        <x:v>待补证</x:v>
      </x:c>
    </x:row>
    <x:row r="12" ht="68" customHeight="1">
      <x:c r="A12" s="4" t="str">
        <x:v>P04-BJ</x:v>
      </x:c>
      <x:c r="B12" s="4" t="str">
        <x:v>暂停对外实施待补证</x:v>
      </x:c>
      <x:c r="C12" s="4" t="str">
        <x:v>高于两方历史代理；6%物业成本仅声称，未证明正当理由</x:v>
      </x:c>
      <x:c r="D12" s="4" t="str">
        <x:v>O3；L034 P34；BJ-F1等</x:v>
      </x:c>
      <x:c r="E12" s="4" t="str">
        <x:v>提交成本凭证/分摊与比例性说明，法务独立复核；不能按6%直接加价</x:v>
      </x:c>
      <x:c r="F12" s="4" t="str">
        <x:v>物业合同/发票、成本桥、比较口径与例外审批</x:v>
      </x:c>
      <x:c r="G12" s="4" t="str">
        <x:v>定价财务/法务；执行前</x:v>
      </x:c>
      <x:c r="H12" s="10" t="str">
        <x:v>待补证</x:v>
      </x:c>
    </x:row>
    <x:row r="13" ht="68" customHeight="1">
      <x:c r="A13" s="4" t="str">
        <x:v>P04-GZ</x:v>
      </x:c>
      <x:c r="B13" s="4" t="str">
        <x:v>暂停对外实施待补证</x:v>
      </x:c>
      <x:c r="C13" s="4" t="str">
        <x:v>高于可得分众代理；新潮对应历史缺失不能当0或无交易</x:v>
      </x:c>
      <x:c r="D13" s="4" t="str">
        <x:v>O3；L034 P34；GZ-F1等</x:v>
      </x:c>
      <x:c r="E13" s="4" t="str">
        <x:v>补广州新潮数据及覆盖说明，再核附件和理由；不得借用上海基准</x:v>
      </x:c>
      <x:c r="F13" s="4" t="str">
        <x:v>新潮广州原始成交/覆盖确认、承诺附件</x:v>
      </x:c>
      <x:c r="G13" s="4" t="str">
        <x:v>定价财务/法务；执行前</x:v>
      </x:c>
      <x:c r="H13" s="10" t="str">
        <x:v>待补证</x:v>
      </x:c>
    </x:row>
    <x:row r="14" ht="68" customHeight="1">
      <x:c r="A14" s="4" t="str">
        <x:v>P05</x:v>
      </x:c>
      <x:c r="B14" s="4" t="str">
        <x:v>修改后执行</x:v>
      </x:c>
      <x:c r="C14" s="4" t="str">
        <x:v>强制影院搭售且无拒供理由证据；不是客观公平报价</x:v>
      </x:c>
      <x:c r="D14" s="4" t="str">
        <x:v>O4；L034 P35；场景P05/条款B</x:v>
      </x:c>
      <x:c r="E14" s="4" t="str">
        <x:v>删除影院必购及不单独报价；合理拒供需客观证据+独立审批</x:v>
      </x:c>
      <x:c r="F14" s="4" t="str">
        <x:v>单独报价、客户请求、客观标准与例外证据</x:v>
      </x:c>
      <x:c r="G14" s="4" t="str">
        <x:v>销售/法务；报价前</x:v>
      </x:c>
      <x:c r="H14" s="10" t="str">
        <x:v>待改</x:v>
      </x:c>
    </x:row>
    <x:row r="15" ht="68" customHeight="1">
      <x:c r="A15" s="4" t="str">
        <x:v>P06</x:v>
      </x:c>
      <x:c r="B15" s="4" t="str">
        <x:v>停止独家行权并修改</x:v>
      </x:c>
      <x:c r="C15" s="4" t="str">
        <x:v>已生效独家相关全部权利包括排除第三方及相应违约金</x:v>
      </x:c>
      <x:c r="D15" s="4" t="str">
        <x:v>O5；L034 P36；条款A</x:v>
      </x:c>
      <x:c r="E15" s="4" t="str">
        <x:v>撤销保留权利说明，放弃该独家全部相关权利；其他合同约定另审保留</x:v>
      </x:c>
      <x:c r="F15" s="4" t="str">
        <x:v>权利清册、书面放弃和送达、停止行权记录</x:v>
      </x:c>
      <x:c r="G15" s="4" t="str">
        <x:v>物业/法务；立即/2026-10-20前</x:v>
      </x:c>
      <x:c r="H15" s="10" t="str">
        <x:v>待改</x:v>
      </x:c>
    </x:row>
    <x:row r="16" ht="68" customHeight="1">
      <x:c r="A16" s="4" t="str">
        <x:v>P07</x:v>
      </x:c>
      <x:c r="B16" s="4" t="str">
        <x:v>修改后签署</x:v>
      </x:c>
      <x:c r="C16" s="4" t="str">
        <x:v>新签与续签均不得独家及自动续约；可反对退出仍是自动续约</x:v>
      </x:c>
      <x:c r="D16" s="4" t="str">
        <x:v>O5；L034 P36；条款C</x:v>
      </x:c>
      <x:c r="E16" s="4" t="str">
        <x:v>删独家、删默认自动续约；届满后另签书面非独家合同</x:v>
      </x:c>
      <x:c r="F16" s="4" t="str">
        <x:v>R-02/R-03草稿及审批、模板版本</x:v>
      </x:c>
      <x:c r="G16" s="4" t="str">
        <x:v>物业/法务；签约前</x:v>
      </x:c>
      <x:c r="H16" s="10" t="str">
        <x:v>待改</x:v>
      </x:c>
    </x:row>
    <x:row r="17" ht="68" customHeight="1">
      <x:c r="A17" s="4" t="str">
        <x:v>P08</x:v>
      </x:c>
      <x:c r="B17" s="4" t="str">
        <x:v>重制制度与培训计划</x:v>
      </x:c>
      <x:c r="C17" s="4" t="str">
        <x:v>FAQ群发不证明体系健全、定期培训覆盖；销售自批缺复核</x:v>
      </x:c>
      <x:c r="D17" s="4" t="str">
        <x:v>O6；L034 P37；场景P08</x:v>
      </x:c>
      <x:c r="E17" s="4" t="str">
        <x:v>覆盖销售/物业/新人；风险岗季度+入职培训为自选频率；例外法务复核</x:v>
      </x:c>
      <x:c r="F17" s="4" t="str">
        <x:v>制度权责、名册/签到/测试、补训、审计记录</x:v>
      </x:c>
      <x:c r="G17" s="4" t="str">
        <x:v>培训/法务内审；2026-10-20方案</x:v>
      </x:c>
      <x:c r="H17" s="10" t="str">
        <x:v>待改</x:v>
      </x:c>
    </x:row>
    <x:row r="18" ht="68" customHeight="1">
      <x:c r="A18" s="4" t="str">
        <x:v>P09</x:v>
      </x:c>
      <x:c r="B18" s="4" t="str">
        <x:v>删除自动停止并重排</x:v>
      </x:c>
      <x:c r="C18" s="4" t="str">
        <x:v>每年报告至条件终止；五年后可申请，批准前持续</x:v>
      </x:c>
      <x:c r="D18" s="4" t="str">
        <x:v>R1/R2；L034 P38-P41,P44</x:v>
      </x:c>
      <x:c r="E18" s="4" t="str">
        <x:v>2027及以后年度报告；2031五周年复核/申请标记；无批准继续控制和报告</x:v>
      </x:c>
      <x:c r="F18" s="4" t="str">
        <x:v>年度证据包/回执、申请、解除决定</x:v>
      </x:c>
      <x:c r="G18" s="4" t="str">
        <x:v>报告联络/法务；2026-10-20前</x:v>
      </x:c>
      <x:c r="H18" s="10" t="str">
        <x:v>待改</x:v>
      </x:c>
    </x:row>
    <x:row r="19" ht="24" customHeight="1">
      <x:c r="A19" s="2"/>
      <x:c r="B19" s="2"/>
      <x:c r="C19" s="2"/>
      <x:c r="D19" s="2"/>
      <x:c r="E19" s="2"/>
      <x:c r="F19" s="2"/>
      <x:c r="G19" s="2"/>
      <x:c r="H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</x:row>
  </x:sheetData>
  <x:dataValidations count="1">
    <x:dataValidation type="list" sqref="H7:H18">
      <x:formula1>"待改,待补证,已完成,暂停"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96155478efc4ffd"/>
  </x:tableParts>
</x:worksheet>
</file>

<file path=xl/worksheets/sheet3.xml><?xml version="1.0" encoding="utf-8"?>
<x:worksheet xmlns:x="http://schemas.openxmlformats.org/spreadsheetml/2006/main">
  <x:sheetPr>
    <x:tabColor rgb="FF635380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13" hidden="0" customWidth="1"/>
    <x:col min="2" max="2" width="10" hidden="0" customWidth="1"/>
    <x:col min="3" max="3" width="12" hidden="0" customWidth="1"/>
    <x:col min="4" max="4" width="11" hidden="0" customWidth="1"/>
    <x:col min="5" max="5" width="13" hidden="0" customWidth="1"/>
    <x:col min="6" max="6" width="18" hidden="0" customWidth="1"/>
    <x:col min="7" max="7" width="15" hidden="0" customWidth="1"/>
    <x:col min="8" max="8" width="13" hidden="0" customWidth="1"/>
    <x:col min="9" max="9" width="19" hidden="0" customWidth="1"/>
    <x:col min="10" max="10" width="16" hidden="0" customWidth="1"/>
    <x:col min="11" max="11" width="15" hidden="0" customWidth="1"/>
    <x:col min="12" max="12" width="15" hidden="0" customWidth="1"/>
    <x:col min="13" max="13" width="22" hidden="0" customWidth="1"/>
    <x:col min="14" max="14" width="25" hidden="0" customWidth="1"/>
  </x:cols>
  <x:sheetData>
    <x:row r="2" ht="25" customHeight="1">
      <x:c r="A2" s="3" t="str">
        <x:v>城市价格代理筛查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2" t="str">
        <x:v>历史窗口：2024-10-09（含）至2026-10-08（含）；分城分主体净金额÷屏幕周数。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4" customHeight="1">
      <x:c r="A5" s="2" t="str">
        <x:v>计划全年代理与历史代理分别比较。下表不是法定唯一基准；没有正当理由的边界需证据及附件审查。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4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34" customHeight="1">
      <x:c r="A7" s="9" t="str">
        <x:v>提案ID</x:v>
      </x:c>
      <x:c r="B7" s="9" t="str">
        <x:v>城市</x:v>
      </x:c>
      <x:c r="C7" s="9" t="str">
        <x:v>历史主体</x:v>
      </x:c>
      <x:c r="D7" s="9" t="str">
        <x:v>纳入行数</x:v>
      </x:c>
      <x:c r="E7" s="9" t="str">
        <x:v>历史屏幕周</x:v>
      </x:c>
      <x:c r="F7" s="9" t="str">
        <x:v>历史净金额</x:v>
      </x:c>
      <x:c r="G7" s="9" t="str">
        <x:v>历史代理价</x:v>
      </x:c>
      <x:c r="H7" s="9" t="str">
        <x:v>计划屏幕周</x:v>
      </x:c>
      <x:c r="I7" s="9" t="str">
        <x:v>计划净金额</x:v>
      </x:c>
      <x:c r="J7" s="9" t="str">
        <x:v>计划代理价</x:v>
      </x:c>
      <x:c r="K7" s="9" t="str">
        <x:v>差额（元/周）</x:v>
      </x:c>
      <x:c r="L7" s="9" t="str">
        <x:v>比例差</x:v>
      </x:c>
      <x:c r="M7" s="9" t="str">
        <x:v>算数信号</x:v>
      </x:c>
      <x:c r="N7" s="9" t="str">
        <x:v>后续价格审核</x:v>
      </x:c>
    </x:row>
    <x:row r="8" ht="44" customHeight="1">
      <x:c r="A8" s="2" t="str">
        <x:v>P04-SH</x:v>
      </x:c>
      <x:c r="B8" s="2" t="str">
        <x:v>上海</x:v>
      </x:c>
      <x:c r="C8" s="2" t="str">
        <x:v>分众</x:v>
      </x:c>
      <x:c r="D8" s="12" t="n">
        <x:f>COUNTIFS('原始台账'!$C$9:$C$24,B8,'原始台账'!$D$9:$D$24,C8,'原始台账'!$G$9:$G$24,"纳入")</x:f>
        <x:v>2</x:v>
      </x:c>
      <x:c r="E8" s="12" t="n">
        <x:f>IF(D8=0,"缺失",SUMIFS('原始台账'!$E$9:$E$24,'原始台账'!$C$9:$C$24,B8,'原始台账'!$D$9:$D$24,C8,'原始台账'!$G$9:$G$24,"纳入"))</x:f>
        <x:v>300</x:v>
      </x:c>
      <x:c r="F8" s="12" t="n">
        <x:f>IF(D8=0,"缺失",SUMIFS('原始台账'!$F$9:$F$24,'原始台账'!$C$9:$C$24,B8,'原始台账'!$D$9:$D$24,C8,'原始台账'!$G$9:$G$24,"纳入"))</x:f>
        <x:v>30000</x:v>
      </x:c>
      <x:c r="G8" s="14" t="n">
        <x:f>IF(D8=0,"缺失",IF(E8&lt;=0,"单元错误",F8/E8))</x:f>
        <x:v>100</x:v>
      </x:c>
      <x:c r="H8" s="12" t="n">
        <x:f>'原始台账'!D30</x:f>
        <x:v>1000</x:v>
      </x:c>
      <x:c r="I8" s="12" t="n">
        <x:f>'原始台账'!E30</x:f>
        <x:v>95000</x:v>
      </x:c>
      <x:c r="J8" s="14" t="n">
        <x:f>IF(H8&lt;=0,"计划单元错误",I8/H8)</x:f>
        <x:v>95</x:v>
      </x:c>
      <x:c r="K8" s="14" t="n">
        <x:f>IF(D8=0,"缺失",J8-G8)</x:f>
        <x:v>-5</x:v>
      </x:c>
      <x:c r="L8" s="15" t="n">
        <x:f>IF(D8=0,"缺失",IF(G8=0,"基准为零",J8/G8-1))</x:f>
        <x:v>-0.050000000000000044</x:v>
      </x:c>
      <x:c r="M8" s="4" t="str">
        <x:f>IF(D8=0,"对应城市历史缺失",IF(K8&gt;0,"高于历史代理",IF(K8=0,"等于历史代理","低于历史代理")))</x:f>
        <x:v>低于历史代理</x:v>
      </x:c>
      <x:c r="N8" s="4" t="str">
        <x:f>IF(D8=0,"补历史/附件再审核",IF(K8&gt;0,"暂停对外实施/补理由","校准附件/监测实际"))</x:f>
        <x:v>校准附件/监测实际</x:v>
      </x:c>
    </x:row>
    <x:row r="9" ht="44" customHeight="1">
      <x:c r="A9" s="2" t="str">
        <x:v>P04-SH</x:v>
      </x:c>
      <x:c r="B9" s="2" t="str">
        <x:v>上海</x:v>
      </x:c>
      <x:c r="C9" s="2" t="str">
        <x:v>新潮</x:v>
      </x:c>
      <x:c r="D9" s="12" t="n">
        <x:f>COUNTIFS('原始台账'!$C$9:$C$24,B9,'原始台账'!$D$9:$D$24,C9,'原始台账'!$G$9:$G$24,"纳入")</x:f>
        <x:v>2</x:v>
      </x:c>
      <x:c r="E9" s="12" t="n">
        <x:f>IF(D9=0,"缺失",SUMIFS('原始台账'!$E$9:$E$24,'原始台账'!$C$9:$C$24,B9,'原始台账'!$D$9:$D$24,C9,'原始台账'!$G$9:$G$24,"纳入"))</x:f>
        <x:v>200</x:v>
      </x:c>
      <x:c r="F9" s="12" t="n">
        <x:f>IF(D9=0,"缺失",SUMIFS('原始台账'!$F$9:$F$24,'原始台账'!$C$9:$C$24,B9,'原始台账'!$D$9:$D$24,C9,'原始台账'!$G$9:$G$24,"纳入"))</x:f>
        <x:v>18000</x:v>
      </x:c>
      <x:c r="G9" s="14" t="n">
        <x:f>IF(D9=0,"缺失",IF(E9&lt;=0,"单元错误",F9/E9))</x:f>
        <x:v>90</x:v>
      </x:c>
      <x:c r="H9" s="12" t="n">
        <x:f>'原始台账'!D30</x:f>
        <x:v>1000</x:v>
      </x:c>
      <x:c r="I9" s="12" t="n">
        <x:f>'原始台账'!E30</x:f>
        <x:v>95000</x:v>
      </x:c>
      <x:c r="J9" s="14" t="n">
        <x:f>IF(H9&lt;=0,"计划单元错误",I9/H9)</x:f>
        <x:v>95</x:v>
      </x:c>
      <x:c r="K9" s="14" t="n">
        <x:f>IF(D9=0,"缺失",J9-G9)</x:f>
        <x:v>5</x:v>
      </x:c>
      <x:c r="L9" s="15" t="n">
        <x:f>IF(D9=0,"缺失",IF(G9=0,"基准为零",J9/G9-1))</x:f>
        <x:v>0.05555555555555558</x:v>
      </x:c>
      <x:c r="M9" s="4" t="str">
        <x:f>IF(D9=0,"对应城市历史缺失",IF(K9&gt;0,"高于历史代理",IF(K9=0,"等于历史代理","低于历史代理")))</x:f>
        <x:v>高于历史代理</x:v>
      </x:c>
      <x:c r="N9" s="4" t="str">
        <x:f>IF(D9=0,"补历史/附件再审核",IF(K9&gt;0,"暂停对外实施/补理由","校准附件/监测实际"))</x:f>
        <x:v>暂停对外实施/补理由</x:v>
      </x:c>
    </x:row>
    <x:row r="10" ht="44" customHeight="1">
      <x:c r="A10" s="2" t="str">
        <x:v>P04-CD</x:v>
      </x:c>
      <x:c r="B10" s="2" t="str">
        <x:v>成都</x:v>
      </x:c>
      <x:c r="C10" s="2" t="str">
        <x:v>分众</x:v>
      </x:c>
      <x:c r="D10" s="12" t="n">
        <x:f>COUNTIFS('原始台账'!$C$9:$C$24,B10,'原始台账'!$D$9:$D$24,C10,'原始台账'!$G$9:$G$24,"纳入")</x:f>
        <x:v>2</x:v>
      </x:c>
      <x:c r="E10" s="12" t="n">
        <x:f>IF(D10=0,"缺失",SUMIFS('原始台账'!$E$9:$E$24,'原始台账'!$C$9:$C$24,B10,'原始台账'!$D$9:$D$24,C10,'原始台账'!$G$9:$G$24,"纳入"))</x:f>
        <x:v>300</x:v>
      </x:c>
      <x:c r="F10" s="12" t="n">
        <x:f>IF(D10=0,"缺失",SUMIFS('原始台账'!$F$9:$F$24,'原始台账'!$C$9:$C$24,B10,'原始台账'!$D$9:$D$24,C10,'原始台账'!$G$9:$G$24,"纳入"))</x:f>
        <x:v>20000</x:v>
      </x:c>
      <x:c r="G10" s="14" t="n">
        <x:f>IF(D10=0,"缺失",IF(E10&lt;=0,"单元错误",F10/E10))</x:f>
        <x:v>66.66666666666667</x:v>
      </x:c>
      <x:c r="H10" s="12" t="n">
        <x:f>'原始台账'!D31</x:f>
        <x:v>1000</x:v>
      </x:c>
      <x:c r="I10" s="12" t="n">
        <x:f>'原始台账'!E31</x:f>
        <x:v>58000</x:v>
      </x:c>
      <x:c r="J10" s="14" t="n">
        <x:f>IF(H10&lt;=0,"计划单元错误",I10/H10)</x:f>
        <x:v>58</x:v>
      </x:c>
      <x:c r="K10" s="14" t="n">
        <x:f>IF(D10=0,"缺失",J10-G10)</x:f>
        <x:v>-8.666666666666671</x:v>
      </x:c>
      <x:c r="L10" s="15" t="n">
        <x:f>IF(D10=0,"缺失",IF(G10=0,"基准为零",J10/G10-1))</x:f>
        <x:v>-0.13000000000000012</x:v>
      </x:c>
      <x:c r="M10" s="4" t="str">
        <x:f>IF(D10=0,"对应城市历史缺失",IF(K10&gt;0,"高于历史代理",IF(K10=0,"等于历史代理","低于历史代理")))</x:f>
        <x:v>低于历史代理</x:v>
      </x:c>
      <x:c r="N10" s="4" t="str">
        <x:f>IF(D10=0,"补历史/附件再审核",IF(K10&gt;0,"暂停对外实施/补理由","校准附件/监测实际"))</x:f>
        <x:v>校准附件/监测实际</x:v>
      </x:c>
    </x:row>
    <x:row r="11" ht="44" customHeight="1">
      <x:c r="A11" s="2" t="str">
        <x:v>P04-CD</x:v>
      </x:c>
      <x:c r="B11" s="2" t="str">
        <x:v>成都</x:v>
      </x:c>
      <x:c r="C11" s="2" t="str">
        <x:v>新潮</x:v>
      </x:c>
      <x:c r="D11" s="12" t="n">
        <x:f>COUNTIFS('原始台账'!$C$9:$C$24,B11,'原始台账'!$D$9:$D$24,C11,'原始台账'!$G$9:$G$24,"纳入")</x:f>
        <x:v>2</x:v>
      </x:c>
      <x:c r="E11" s="12" t="n">
        <x:f>IF(D11=0,"缺失",SUMIFS('原始台账'!$E$9:$E$24,'原始台账'!$C$9:$C$24,B11,'原始台账'!$D$9:$D$24,C11,'原始台账'!$G$9:$G$24,"纳入"))</x:f>
        <x:v>200</x:v>
      </x:c>
      <x:c r="F11" s="12" t="n">
        <x:f>IF(D11=0,"缺失",SUMIFS('原始台账'!$F$9:$F$24,'原始台账'!$C$9:$C$24,B11,'原始台账'!$D$9:$D$24,C11,'原始台账'!$G$9:$G$24,"纳入"))</x:f>
        <x:v>12000</x:v>
      </x:c>
      <x:c r="G11" s="14" t="n">
        <x:f>IF(D11=0,"缺失",IF(E11&lt;=0,"单元错误",F11/E11))</x:f>
        <x:v>60</x:v>
      </x:c>
      <x:c r="H11" s="12" t="n">
        <x:f>'原始台账'!D31</x:f>
        <x:v>1000</x:v>
      </x:c>
      <x:c r="I11" s="12" t="n">
        <x:f>'原始台账'!E31</x:f>
        <x:v>58000</x:v>
      </x:c>
      <x:c r="J11" s="14" t="n">
        <x:f>IF(H11&lt;=0,"计划单元错误",I11/H11)</x:f>
        <x:v>58</x:v>
      </x:c>
      <x:c r="K11" s="14" t="n">
        <x:f>IF(D11=0,"缺失",J11-G11)</x:f>
        <x:v>-2</x:v>
      </x:c>
      <x:c r="L11" s="15" t="n">
        <x:f>IF(D11=0,"缺失",IF(G11=0,"基准为零",J11/G11-1))</x:f>
        <x:v>-0.033333333333333326</x:v>
      </x:c>
      <x:c r="M11" s="4" t="str">
        <x:f>IF(D11=0,"对应城市历史缺失",IF(K11&gt;0,"高于历史代理",IF(K11=0,"等于历史代理","低于历史代理")))</x:f>
        <x:v>低于历史代理</x:v>
      </x:c>
      <x:c r="N11" s="4" t="str">
        <x:f>IF(D11=0,"补历史/附件再审核",IF(K11&gt;0,"暂停对外实施/补理由","校准附件/监测实际"))</x:f>
        <x:v>校准附件/监测实际</x:v>
      </x:c>
    </x:row>
    <x:row r="12" ht="44" customHeight="1">
      <x:c r="A12" s="2" t="str">
        <x:v>P04-BJ</x:v>
      </x:c>
      <x:c r="B12" s="2" t="str">
        <x:v>北京</x:v>
      </x:c>
      <x:c r="C12" s="2" t="str">
        <x:v>分众</x:v>
      </x:c>
      <x:c r="D12" s="12" t="n">
        <x:f>COUNTIFS('原始台账'!$C$9:$C$24,B12,'原始台账'!$D$9:$D$24,C12,'原始台账'!$G$9:$G$24,"纳入")</x:f>
        <x:v>2</x:v>
      </x:c>
      <x:c r="E12" s="12" t="n">
        <x:f>IF(D12=0,"缺失",SUMIFS('原始台账'!$E$9:$E$24,'原始台账'!$C$9:$C$24,B12,'原始台账'!$D$9:$D$24,C12,'原始台账'!$G$9:$G$24,"纳入"))</x:f>
        <x:v>200</x:v>
      </x:c>
      <x:c r="F12" s="12" t="n">
        <x:f>IF(D12=0,"缺失",SUMIFS('原始台账'!$F$9:$F$24,'原始台账'!$C$9:$C$24,B12,'原始台账'!$D$9:$D$24,C12,'原始台账'!$G$9:$G$24,"纳入"))</x:f>
        <x:v>22000</x:v>
      </x:c>
      <x:c r="G12" s="14" t="n">
        <x:f>IF(D12=0,"缺失",IF(E12&lt;=0,"单元错误",F12/E12))</x:f>
        <x:v>110</x:v>
      </x:c>
      <x:c r="H12" s="12" t="n">
        <x:f>'原始台账'!D32</x:f>
        <x:v>1000</x:v>
      </x:c>
      <x:c r="I12" s="12" t="n">
        <x:f>'原始台账'!E32</x:f>
        <x:v>120000</x:v>
      </x:c>
      <x:c r="J12" s="14" t="n">
        <x:f>IF(H12&lt;=0,"计划单元错误",I12/H12)</x:f>
        <x:v>120</x:v>
      </x:c>
      <x:c r="K12" s="14" t="n">
        <x:f>IF(D12=0,"缺失",J12-G12)</x:f>
        <x:v>10</x:v>
      </x:c>
      <x:c r="L12" s="15" t="n">
        <x:f>IF(D12=0,"缺失",IF(G12=0,"基准为零",J12/G12-1))</x:f>
        <x:v>0.09090909090909083</x:v>
      </x:c>
      <x:c r="M12" s="4" t="str">
        <x:f>IF(D12=0,"对应城市历史缺失",IF(K12&gt;0,"高于历史代理",IF(K12=0,"等于历史代理","低于历史代理")))</x:f>
        <x:v>高于历史代理</x:v>
      </x:c>
      <x:c r="N12" s="4" t="str">
        <x:f>IF(D12=0,"补历史/附件再审核",IF(K12&gt;0,"暂停对外实施/补理由","校准附件/监测实际"))</x:f>
        <x:v>暂停对外实施/补理由</x:v>
      </x:c>
    </x:row>
    <x:row r="13" ht="44" customHeight="1">
      <x:c r="A13" s="2" t="str">
        <x:v>P04-BJ</x:v>
      </x:c>
      <x:c r="B13" s="2" t="str">
        <x:v>北京</x:v>
      </x:c>
      <x:c r="C13" s="2" t="str">
        <x:v>新潮</x:v>
      </x:c>
      <x:c r="D13" s="12" t="n">
        <x:f>COUNTIFS('原始台账'!$C$9:$C$24,B13,'原始台账'!$D$9:$D$24,C13,'原始台账'!$G$9:$G$24,"纳入")</x:f>
        <x:v>2</x:v>
      </x:c>
      <x:c r="E13" s="12" t="n">
        <x:f>IF(D13=0,"缺失",SUMIFS('原始台账'!$E$9:$E$24,'原始台账'!$C$9:$C$24,B13,'原始台账'!$D$9:$D$24,C13,'原始台账'!$G$9:$G$24,"纳入"))</x:f>
        <x:v>200</x:v>
      </x:c>
      <x:c r="F13" s="12" t="n">
        <x:f>IF(D13=0,"缺失",SUMIFS('原始台账'!$F$9:$F$24,'原始台账'!$C$9:$C$24,B13,'原始台账'!$D$9:$D$24,C13,'原始台账'!$G$9:$G$24,"纳入"))</x:f>
        <x:v>20000</x:v>
      </x:c>
      <x:c r="G13" s="14" t="n">
        <x:f>IF(D13=0,"缺失",IF(E13&lt;=0,"单元错误",F13/E13))</x:f>
        <x:v>100</x:v>
      </x:c>
      <x:c r="H13" s="12" t="n">
        <x:f>'原始台账'!D32</x:f>
        <x:v>1000</x:v>
      </x:c>
      <x:c r="I13" s="12" t="n">
        <x:f>'原始台账'!E32</x:f>
        <x:v>120000</x:v>
      </x:c>
      <x:c r="J13" s="14" t="n">
        <x:f>IF(H13&lt;=0,"计划单元错误",I13/H13)</x:f>
        <x:v>120</x:v>
      </x:c>
      <x:c r="K13" s="14" t="n">
        <x:f>IF(D13=0,"缺失",J13-G13)</x:f>
        <x:v>20</x:v>
      </x:c>
      <x:c r="L13" s="15" t="n">
        <x:f>IF(D13=0,"缺失",IF(G13=0,"基准为零",J13/G13-1))</x:f>
        <x:v>0.19999999999999996</x:v>
      </x:c>
      <x:c r="M13" s="4" t="str">
        <x:f>IF(D13=0,"对应城市历史缺失",IF(K13&gt;0,"高于历史代理",IF(K13=0,"等于历史代理","低于历史代理")))</x:f>
        <x:v>高于历史代理</x:v>
      </x:c>
      <x:c r="N13" s="4" t="str">
        <x:f>IF(D13=0,"补历史/附件再审核",IF(K13&gt;0,"暂停对外实施/补理由","校准附件/监测实际"))</x:f>
        <x:v>暂停对外实施/补理由</x:v>
      </x:c>
    </x:row>
    <x:row r="14" ht="44" customHeight="1">
      <x:c r="A14" s="2" t="str">
        <x:v>P04-GZ</x:v>
      </x:c>
      <x:c r="B14" s="2" t="str">
        <x:v>广州</x:v>
      </x:c>
      <x:c r="C14" s="2" t="str">
        <x:v>分众</x:v>
      </x:c>
      <x:c r="D14" s="12" t="n">
        <x:f>COUNTIFS('原始台账'!$C$9:$C$24,B14,'原始台账'!$D$9:$D$24,C14,'原始台账'!$G$9:$G$24,"纳入")</x:f>
        <x:v>2</x:v>
      </x:c>
      <x:c r="E14" s="12" t="n">
        <x:f>IF(D14=0,"缺失",SUMIFS('原始台账'!$E$9:$E$24,'原始台账'!$C$9:$C$24,B14,'原始台账'!$D$9:$D$24,C14,'原始台账'!$G$9:$G$24,"纳入"))</x:f>
        <x:v>200</x:v>
      </x:c>
      <x:c r="F14" s="12" t="n">
        <x:f>IF(D14=0,"缺失",SUMIFS('原始台账'!$F$9:$F$24,'原始台账'!$C$9:$C$24,B14,'原始台账'!$D$9:$D$24,C14,'原始台账'!$G$9:$G$24,"纳入"))</x:f>
        <x:v>10000</x:v>
      </x:c>
      <x:c r="G14" s="14" t="n">
        <x:f>IF(D14=0,"缺失",IF(E14&lt;=0,"单元错误",F14/E14))</x:f>
        <x:v>50</x:v>
      </x:c>
      <x:c r="H14" s="12" t="n">
        <x:f>'原始台账'!D33</x:f>
        <x:v>1000</x:v>
      </x:c>
      <x:c r="I14" s="12" t="n">
        <x:f>'原始台账'!E33</x:f>
        <x:v>52000</x:v>
      </x:c>
      <x:c r="J14" s="14" t="n">
        <x:f>IF(H14&lt;=0,"计划单元错误",I14/H14)</x:f>
        <x:v>52</x:v>
      </x:c>
      <x:c r="K14" s="14" t="n">
        <x:f>IF(D14=0,"缺失",J14-G14)</x:f>
        <x:v>2</x:v>
      </x:c>
      <x:c r="L14" s="15" t="n">
        <x:f>IF(D14=0,"缺失",IF(G14=0,"基准为零",J14/G14-1))</x:f>
        <x:v>0.040000000000000036</x:v>
      </x:c>
      <x:c r="M14" s="4" t="str">
        <x:f>IF(D14=0,"对应城市历史缺失",IF(K14&gt;0,"高于历史代理",IF(K14=0,"等于历史代理","低于历史代理")))</x:f>
        <x:v>高于历史代理</x:v>
      </x:c>
      <x:c r="N14" s="4" t="str">
        <x:f>IF(D14=0,"补历史/附件再审核",IF(K14&gt;0,"暂停对外实施/补理由","校准附件/监测实际"))</x:f>
        <x:v>暂停对外实施/补理由</x:v>
      </x:c>
    </x:row>
    <x:row r="15" ht="44" customHeight="1">
      <x:c r="A15" s="2" t="str">
        <x:v>P04-GZ</x:v>
      </x:c>
      <x:c r="B15" s="2" t="str">
        <x:v>广州</x:v>
      </x:c>
      <x:c r="C15" s="2" t="str">
        <x:v>新潮</x:v>
      </x:c>
      <x:c r="D15" s="12" t="n">
        <x:f>COUNTIFS('原始台账'!$C$9:$C$24,B15,'原始台账'!$D$9:$D$24,C15,'原始台账'!$G$9:$G$24,"纳入")</x:f>
        <x:v>0</x:v>
      </x:c>
      <x:c r="E15" s="12" t="str">
        <x:f>IF(D15=0,"缺失",SUMIFS('原始台账'!$E$9:$E$24,'原始台账'!$C$9:$C$24,B15,'原始台账'!$D$9:$D$24,C15,'原始台账'!$G$9:$G$24,"纳入"))</x:f>
        <x:v>缺失</x:v>
      </x:c>
      <x:c r="F15" s="12" t="str">
        <x:f>IF(D15=0,"缺失",SUMIFS('原始台账'!$F$9:$F$24,'原始台账'!$C$9:$C$24,B15,'原始台账'!$D$9:$D$24,C15,'原始台账'!$G$9:$G$24,"纳入"))</x:f>
        <x:v>缺失</x:v>
      </x:c>
      <x:c r="G15" s="14" t="str">
        <x:f>IF(D15=0,"缺失",IF(E15&lt;=0,"单元错误",F15/E15))</x:f>
        <x:v>缺失</x:v>
      </x:c>
      <x:c r="H15" s="12" t="n">
        <x:f>'原始台账'!D33</x:f>
        <x:v>1000</x:v>
      </x:c>
      <x:c r="I15" s="12" t="n">
        <x:f>'原始台账'!E33</x:f>
        <x:v>52000</x:v>
      </x:c>
      <x:c r="J15" s="14" t="n">
        <x:f>IF(H15&lt;=0,"计划单元错误",I15/H15)</x:f>
        <x:v>52</x:v>
      </x:c>
      <x:c r="K15" s="14" t="str">
        <x:f>IF(D15=0,"缺失",J15-G15)</x:f>
        <x:v>缺失</x:v>
      </x:c>
      <x:c r="L15" s="15" t="str">
        <x:f>IF(D15=0,"缺失",IF(G15=0,"基准为零",J15/G15-1))</x:f>
        <x:v>缺失</x:v>
      </x:c>
      <x:c r="M15" s="4" t="str">
        <x:f>IF(D15=0,"对应城市历史缺失",IF(K15&gt;0,"高于历史代理",IF(K15=0,"等于历史代理","低于历史代理")))</x:f>
        <x:v>对应城市历史缺失</x:v>
      </x:c>
      <x:c r="N15" s="4" t="str">
        <x:f>IF(D15=0,"补历史/附件再审核",IF(K15&gt;0,"暂停对外实施/补理由","校准附件/监测实际"))</x:f>
        <x:v>补历史/附件再审核</x:v>
      </x:c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</x:sheetData>
  <x:conditionalFormatting sqref="K8:K15">
    <x:cfRule type="cellIs" dxfId="1" priority="1" operator="greaterThan">
      <x:formula>0</x:formula>
    </x:cfRule>
  </x:conditionalFormatting>
  <x:conditionalFormatting sqref="M8:N15">
    <x:cfRule type="containsText" dxfId="2" priority="2" operator="containsText" text="缺失"/>
  </x:conditionalFormatting>
  <x:pageMargins left="0.7" right="0.7" top="0.75" bottom="0.75" header="0.3" footer="0.3"/>
  <x:tableParts count="1">
    <x:tablePart xmlns:r="http://schemas.openxmlformats.org/officeDocument/2006/relationships" r:id="Rdabef4102c294e9d"/>
  </x:tableParts>
</x:worksheet>
</file>

<file path=xl/worksheets/sheet4.xml><?xml version="1.0" encoding="utf-8"?>
<x:worksheet xmlns:x="http://schemas.openxmlformats.org/spreadsheetml/2006/main">
  <x:sheetPr>
    <x:tabColor rgb="FFBFB4CB"/>
  </x:sheetPr>
  <x:sheetViews>
    <x:sheetView showGridLines="0" workbookViewId="0">
      <x:pane xSplit="1" ySplit="8" topLeftCell="B9" activePane="bottomRight" state="frozen"/>
    </x:sheetView>
  </x:sheetViews>
  <x:sheetFormatPr defaultRowHeight="15"/>
  <x:cols>
    <x:col min="1" max="1" width="16" hidden="0" customWidth="1"/>
    <x:col min="2" max="2" width="14" hidden="0" customWidth="1"/>
    <x:col min="3" max="3" width="10" hidden="0" customWidth="1"/>
    <x:col min="4" max="4" width="14" hidden="0" customWidth="1"/>
    <x:col min="5" max="5" width="14" hidden="0" customWidth="1"/>
    <x:col min="6" max="6" width="20" hidden="0" customWidth="1"/>
    <x:col min="7" max="7" width="14" hidden="0" customWidth="1"/>
  </x:cols>
  <x:sheetData>
    <x:row r="2" ht="25" customHeight="1">
      <x:c r="A2" s="3" t="str">
        <x:v>价格原始台账</x:v>
      </x:c>
      <x:c r="B2" s="2"/>
      <x:c r="C2" s="2"/>
      <x:c r="D2" s="2"/>
      <x:c r="E2" s="2"/>
      <x:c r="F2" s="2"/>
      <x:c r="G2" s="2"/>
    </x:row>
    <x:row r="3" ht="24" customHeight="1">
      <x:c r="A3" s="2" t="str">
        <x:v>事项时点</x:v>
      </x:c>
      <x:c r="B3" s="11" t="n">
        <x:v>46306</x:v>
      </x:c>
      <x:c r="C3" s="2"/>
      <x:c r="D3" s="2" t="str">
        <x:v>来源：price-ledger.csv / price-plan.csv。</x:v>
      </x:c>
      <x:c r="E3" s="2"/>
      <x:c r="F3" s="2"/>
      <x:c r="G3" s="2"/>
    </x:row>
    <x:row r="4" ht="24" customHeight="1">
      <x:c r="A4" s="2" t="str">
        <x:v>历史窗口起点（含）</x:v>
      </x:c>
      <x:c r="B4" s="11" t="n">
        <x:v>45574</x:v>
      </x:c>
      <x:c r="C4" s="2"/>
      <x:c r="D4" s="2" t="str">
        <x:v>金额扣除折扣退款且不含税；单元为同质屏幕周。</x:v>
      </x:c>
      <x:c r="E4" s="2"/>
      <x:c r="F4" s="2"/>
      <x:c r="G4" s="2"/>
    </x:row>
    <x:row r="5" ht="24" customHeight="1">
      <x:c r="A5" s="2" t="str">
        <x:v>窗口终点（不含）</x:v>
      </x:c>
      <x:c r="B5" s="11" t="n">
        <x:v>46304</x:v>
      </x:c>
      <x:c r="C5" s="2"/>
      <x:c r="D5" s="2" t="str">
        <x:v>代理筛查口径：金额合计÷单元合计；法定口径待附件校准。</x:v>
      </x:c>
      <x:c r="E5" s="2"/>
      <x:c r="F5" s="2"/>
      <x:c r="G5" s="2"/>
    </x:row>
    <x:row r="6" ht="24" customHeight="1">
      <x:c r="A6" s="2"/>
      <x:c r="B6" s="2"/>
      <x:c r="C6" s="2"/>
      <x:c r="D6" s="2"/>
      <x:c r="E6" s="2"/>
      <x:c r="F6" s="2"/>
      <x:c r="G6" s="2"/>
    </x:row>
    <x:row r="7" ht="24" customHeight="1">
      <x:c r="A7" s="2"/>
      <x:c r="B7" s="2"/>
      <x:c r="C7" s="2"/>
      <x:c r="D7" s="2"/>
      <x:c r="E7" s="2"/>
      <x:c r="F7" s="2"/>
      <x:c r="G7" s="2"/>
    </x:row>
    <x:row r="8" ht="34" customHeight="1">
      <x:c r="A8" s="9" t="str">
        <x:v>成交ID</x:v>
      </x:c>
      <x:c r="B8" s="9" t="str">
        <x:v>成交日期</x:v>
      </x:c>
      <x:c r="C8" s="9" t="str">
        <x:v>城市</x:v>
      </x:c>
      <x:c r="D8" s="9" t="str">
        <x:v>历史主体</x:v>
      </x:c>
      <x:c r="E8" s="9" t="str">
        <x:v>屏幕周数</x:v>
      </x:c>
      <x:c r="F8" s="9" t="str">
        <x:v>净金额（人民币）</x:v>
      </x:c>
      <x:c r="G8" s="9" t="str">
        <x:v>窗口归属</x:v>
      </x:c>
    </x:row>
    <x:row r="9" ht="24" customHeight="1">
      <x:c r="A9" s="2" t="str">
        <x:v>OUT-SH</x:v>
      </x:c>
      <x:c r="B9" s="11" t="n">
        <x:v>45573</x:v>
      </x:c>
      <x:c r="C9" s="2" t="str">
        <x:v>上海</x:v>
      </x:c>
      <x:c r="D9" s="2" t="str">
        <x:v>分众</x:v>
      </x:c>
      <x:c r="E9" s="12" t="n">
        <x:v>100</x:v>
      </x:c>
      <x:c r="F9" s="12" t="n">
        <x:v>1000</x:v>
      </x:c>
      <x:c r="G9" s="2" t="str">
        <x:f>IF(AND(B9&gt;=$B$4,B9&lt;$B$5),"纳入","排除")</x:f>
        <x:v>排除</x:v>
      </x:c>
    </x:row>
    <x:row r="10" ht="24" customHeight="1">
      <x:c r="A10" s="2" t="str">
        <x:v>SH-F1</x:v>
      </x:c>
      <x:c r="B10" s="11" t="n">
        <x:v>45574</x:v>
      </x:c>
      <x:c r="C10" s="2" t="str">
        <x:v>上海</x:v>
      </x:c>
      <x:c r="D10" s="2" t="str">
        <x:v>分众</x:v>
      </x:c>
      <x:c r="E10" s="12" t="n">
        <x:v>100</x:v>
      </x:c>
      <x:c r="F10" s="12" t="n">
        <x:v>9000</x:v>
      </x:c>
      <x:c r="G10" s="2" t="str">
        <x:f>IF(AND(B10&gt;=$B$4,B10&lt;$B$5),"纳入","排除")</x:f>
        <x:v>纳入</x:v>
      </x:c>
    </x:row>
    <x:row r="11" ht="24" customHeight="1">
      <x:c r="A11" s="2" t="str">
        <x:v>SH-F2</x:v>
      </x:c>
      <x:c r="B11" s="11" t="n">
        <x:v>46303</x:v>
      </x:c>
      <x:c r="C11" s="2" t="str">
        <x:v>上海</x:v>
      </x:c>
      <x:c r="D11" s="2" t="str">
        <x:v>分众</x:v>
      </x:c>
      <x:c r="E11" s="12" t="n">
        <x:v>200</x:v>
      </x:c>
      <x:c r="F11" s="12" t="n">
        <x:v>21000</x:v>
      </x:c>
      <x:c r="G11" s="2" t="str">
        <x:f>IF(AND(B11&gt;=$B$4,B11&lt;$B$5),"纳入","排除")</x:f>
        <x:v>纳入</x:v>
      </x:c>
    </x:row>
    <x:row r="12" ht="24" customHeight="1">
      <x:c r="A12" s="2" t="str">
        <x:v>SH-X1</x:v>
      </x:c>
      <x:c r="B12" s="11" t="n">
        <x:v>45597</x:v>
      </x:c>
      <x:c r="C12" s="2" t="str">
        <x:v>上海</x:v>
      </x:c>
      <x:c r="D12" s="2" t="str">
        <x:v>新潮</x:v>
      </x:c>
      <x:c r="E12" s="12" t="n">
        <x:v>100</x:v>
      </x:c>
      <x:c r="F12" s="12" t="n">
        <x:v>8000</x:v>
      </x:c>
      <x:c r="G12" s="2" t="str">
        <x:f>IF(AND(B12&gt;=$B$4,B12&lt;$B$5),"纳入","排除")</x:f>
        <x:v>纳入</x:v>
      </x:c>
    </x:row>
    <x:row r="13" ht="24" customHeight="1">
      <x:c r="A13" s="2" t="str">
        <x:v>SH-X2</x:v>
      </x:c>
      <x:c r="B13" s="11" t="n">
        <x:v>46295</x:v>
      </x:c>
      <x:c r="C13" s="2" t="str">
        <x:v>上海</x:v>
      </x:c>
      <x:c r="D13" s="2" t="str">
        <x:v>新潮</x:v>
      </x:c>
      <x:c r="E13" s="12" t="n">
        <x:v>100</x:v>
      </x:c>
      <x:c r="F13" s="12" t="n">
        <x:v>10000</x:v>
      </x:c>
      <x:c r="G13" s="2" t="str">
        <x:f>IF(AND(B13&gt;=$B$4,B13&lt;$B$5),"纳入","排除")</x:f>
        <x:v>纳入</x:v>
      </x:c>
    </x:row>
    <x:row r="14" ht="24" customHeight="1">
      <x:c r="A14" s="2" t="str">
        <x:v>POST-SH</x:v>
      </x:c>
      <x:c r="B14" s="11" t="n">
        <x:v>46304</x:v>
      </x:c>
      <x:c r="C14" s="2" t="str">
        <x:v>上海</x:v>
      </x:c>
      <x:c r="D14" s="2" t="str">
        <x:v>新潮</x:v>
      </x:c>
      <x:c r="E14" s="12" t="n">
        <x:v>100</x:v>
      </x:c>
      <x:c r="F14" s="12" t="n">
        <x:v>50000</x:v>
      </x:c>
      <x:c r="G14" s="2" t="str">
        <x:f>IF(AND(B14&gt;=$B$4,B14&lt;$B$5),"纳入","排除")</x:f>
        <x:v>排除</x:v>
      </x:c>
    </x:row>
    <x:row r="15" ht="24" customHeight="1">
      <x:c r="A15" s="2" t="str">
        <x:v>CD-F1</x:v>
      </x:c>
      <x:c r="B15" s="11" t="n">
        <x:v>45658</x:v>
      </x:c>
      <x:c r="C15" s="2" t="str">
        <x:v>成都</x:v>
      </x:c>
      <x:c r="D15" s="2" t="str">
        <x:v>分众</x:v>
      </x:c>
      <x:c r="E15" s="12" t="n">
        <x:v>100</x:v>
      </x:c>
      <x:c r="F15" s="12" t="n">
        <x:v>7000</x:v>
      </x:c>
      <x:c r="G15" s="2" t="str">
        <x:f>IF(AND(B15&gt;=$B$4,B15&lt;$B$5),"纳入","排除")</x:f>
        <x:v>纳入</x:v>
      </x:c>
    </x:row>
    <x:row r="16" ht="24" customHeight="1">
      <x:c r="A16" s="2" t="str">
        <x:v>CD-F2</x:v>
      </x:c>
      <x:c r="B16" s="11" t="n">
        <x:v>46266</x:v>
      </x:c>
      <x:c r="C16" s="2" t="str">
        <x:v>成都</x:v>
      </x:c>
      <x:c r="D16" s="2" t="str">
        <x:v>分众</x:v>
      </x:c>
      <x:c r="E16" s="12" t="n">
        <x:v>200</x:v>
      </x:c>
      <x:c r="F16" s="12" t="n">
        <x:v>13000</x:v>
      </x:c>
      <x:c r="G16" s="2" t="str">
        <x:f>IF(AND(B16&gt;=$B$4,B16&lt;$B$5),"纳入","排除")</x:f>
        <x:v>纳入</x:v>
      </x:c>
    </x:row>
    <x:row r="17" ht="24" customHeight="1">
      <x:c r="A17" s="2" t="str">
        <x:v>CD-X1</x:v>
      </x:c>
      <x:c r="B17" s="11" t="n">
        <x:v>45689</x:v>
      </x:c>
      <x:c r="C17" s="2" t="str">
        <x:v>成都</x:v>
      </x:c>
      <x:c r="D17" s="2" t="str">
        <x:v>新潮</x:v>
      </x:c>
      <x:c r="E17" s="12" t="n">
        <x:v>100</x:v>
      </x:c>
      <x:c r="F17" s="12" t="n">
        <x:v>6000</x:v>
      </x:c>
      <x:c r="G17" s="2" t="str">
        <x:f>IF(AND(B17&gt;=$B$4,B17&lt;$B$5),"纳入","排除")</x:f>
        <x:v>纳入</x:v>
      </x:c>
    </x:row>
    <x:row r="18" ht="24" customHeight="1">
      <x:c r="A18" s="2" t="str">
        <x:v>CD-X2</x:v>
      </x:c>
      <x:c r="B18" s="11" t="n">
        <x:v>46235</x:v>
      </x:c>
      <x:c r="C18" s="2" t="str">
        <x:v>成都</x:v>
      </x:c>
      <x:c r="D18" s="2" t="str">
        <x:v>新潮</x:v>
      </x:c>
      <x:c r="E18" s="12" t="n">
        <x:v>100</x:v>
      </x:c>
      <x:c r="F18" s="12" t="n">
        <x:v>6000</x:v>
      </x:c>
      <x:c r="G18" s="2" t="str">
        <x:f>IF(AND(B18&gt;=$B$4,B18&lt;$B$5),"纳入","排除")</x:f>
        <x:v>纳入</x:v>
      </x:c>
    </x:row>
    <x:row r="19" ht="24" customHeight="1">
      <x:c r="A19" s="2" t="str">
        <x:v>BJ-F1</x:v>
      </x:c>
      <x:c r="B19" s="11" t="n">
        <x:v>45717</x:v>
      </x:c>
      <x:c r="C19" s="2" t="str">
        <x:v>北京</x:v>
      </x:c>
      <x:c r="D19" s="2" t="str">
        <x:v>分众</x:v>
      </x:c>
      <x:c r="E19" s="12" t="n">
        <x:v>100</x:v>
      </x:c>
      <x:c r="F19" s="12" t="n">
        <x:v>12000</x:v>
      </x:c>
      <x:c r="G19" s="2" t="str">
        <x:f>IF(AND(B19&gt;=$B$4,B19&lt;$B$5),"纳入","排除")</x:f>
        <x:v>纳入</x:v>
      </x:c>
    </x:row>
    <x:row r="20" ht="24" customHeight="1">
      <x:c r="A20" s="2" t="str">
        <x:v>BJ-F2</x:v>
      </x:c>
      <x:c r="B20" s="11" t="n">
        <x:v>46266</x:v>
      </x:c>
      <x:c r="C20" s="2" t="str">
        <x:v>北京</x:v>
      </x:c>
      <x:c r="D20" s="2" t="str">
        <x:v>分众</x:v>
      </x:c>
      <x:c r="E20" s="12" t="n">
        <x:v>100</x:v>
      </x:c>
      <x:c r="F20" s="12" t="n">
        <x:v>10000</x:v>
      </x:c>
      <x:c r="G20" s="2" t="str">
        <x:f>IF(AND(B20&gt;=$B$4,B20&lt;$B$5),"纳入","排除")</x:f>
        <x:v>纳入</x:v>
      </x:c>
    </x:row>
    <x:row r="21" ht="24" customHeight="1">
      <x:c r="A21" s="2" t="str">
        <x:v>BJ-X1</x:v>
      </x:c>
      <x:c r="B21" s="11" t="n">
        <x:v>45717</x:v>
      </x:c>
      <x:c r="C21" s="2" t="str">
        <x:v>北京</x:v>
      </x:c>
      <x:c r="D21" s="2" t="str">
        <x:v>新潮</x:v>
      </x:c>
      <x:c r="E21" s="12" t="n">
        <x:v>100</x:v>
      </x:c>
      <x:c r="F21" s="12" t="n">
        <x:v>9000</x:v>
      </x:c>
      <x:c r="G21" s="2" t="str">
        <x:f>IF(AND(B21&gt;=$B$4,B21&lt;$B$5),"纳入","排除")</x:f>
        <x:v>纳入</x:v>
      </x:c>
    </x:row>
    <x:row r="22" ht="24" customHeight="1">
      <x:c r="A22" s="2" t="str">
        <x:v>BJ-X2</x:v>
      </x:c>
      <x:c r="B22" s="11" t="n">
        <x:v>46266</x:v>
      </x:c>
      <x:c r="C22" s="2" t="str">
        <x:v>北京</x:v>
      </x:c>
      <x:c r="D22" s="2" t="str">
        <x:v>新潮</x:v>
      </x:c>
      <x:c r="E22" s="12" t="n">
        <x:v>100</x:v>
      </x:c>
      <x:c r="F22" s="12" t="n">
        <x:v>11000</x:v>
      </x:c>
      <x:c r="G22" s="2" t="str">
        <x:f>IF(AND(B22&gt;=$B$4,B22&lt;$B$5),"纳入","排除")</x:f>
        <x:v>纳入</x:v>
      </x:c>
    </x:row>
    <x:row r="23" ht="24" customHeight="1">
      <x:c r="A23" s="2" t="str">
        <x:v>GZ-F1</x:v>
      </x:c>
      <x:c r="B23" s="11" t="n">
        <x:v>45809</x:v>
      </x:c>
      <x:c r="C23" s="2" t="str">
        <x:v>广州</x:v>
      </x:c>
      <x:c r="D23" s="2" t="str">
        <x:v>分众</x:v>
      </x:c>
      <x:c r="E23" s="12" t="n">
        <x:v>100</x:v>
      </x:c>
      <x:c r="F23" s="12" t="n">
        <x:v>5000</x:v>
      </x:c>
      <x:c r="G23" s="2" t="str">
        <x:f>IF(AND(B23&gt;=$B$4,B23&lt;$B$5),"纳入","排除")</x:f>
        <x:v>纳入</x:v>
      </x:c>
    </x:row>
    <x:row r="24" ht="24" customHeight="1">
      <x:c r="A24" s="2" t="str">
        <x:v>GZ-F2</x:v>
      </x:c>
      <x:c r="B24" s="11" t="n">
        <x:v>46266</x:v>
      </x:c>
      <x:c r="C24" s="2" t="str">
        <x:v>广州</x:v>
      </x:c>
      <x:c r="D24" s="2" t="str">
        <x:v>分众</x:v>
      </x:c>
      <x:c r="E24" s="12" t="n">
        <x:v>100</x:v>
      </x:c>
      <x:c r="F24" s="12" t="n">
        <x:v>5000</x:v>
      </x:c>
      <x:c r="G24" s="2" t="str">
        <x:f>IF(AND(B24&gt;=$B$4,B24&lt;$B$5),"纳入","排除")</x:f>
        <x:v>纳入</x:v>
      </x:c>
    </x:row>
    <x:row r="25" ht="24" customHeight="1">
      <x:c r="A25" s="2"/>
      <x:c r="B25" s="2"/>
      <x:c r="C25" s="2"/>
      <x:c r="D25" s="2"/>
      <x:c r="E25" s="2"/>
      <x:c r="F25" s="2"/>
      <x:c r="G25" s="2"/>
    </x:row>
    <x:row r="26" ht="24" customHeight="1">
      <x:c r="A26" s="2"/>
      <x:c r="B26" s="2"/>
      <x:c r="C26" s="2"/>
      <x:c r="D26" s="2"/>
      <x:c r="E26" s="2"/>
      <x:c r="F26" s="2"/>
      <x:c r="G26" s="2"/>
    </x:row>
    <x:row r="27" ht="24" customHeight="1">
      <x:c r="A27" s="2" t="str">
        <x:v>2027年度计划：未实现，单价仅作计划代理。</x:v>
      </x:c>
      <x:c r="B27" s="2"/>
      <x:c r="C27" s="2"/>
      <x:c r="D27" s="2"/>
      <x:c r="E27" s="2"/>
      <x:c r="F27" s="2"/>
      <x:c r="G27" s="2"/>
    </x:row>
    <x:row r="28" ht="24" customHeight="1">
      <x:c r="A28" s="2"/>
      <x:c r="B28" s="2"/>
      <x:c r="C28" s="2"/>
      <x:c r="D28" s="2"/>
      <x:c r="E28" s="2"/>
      <x:c r="F28" s="2"/>
      <x:c r="G28" s="2"/>
    </x:row>
    <x:row r="29" ht="34" customHeight="1">
      <x:c r="A29" s="9" t="str">
        <x:v>提案ID</x:v>
      </x:c>
      <x:c r="B29" s="9" t="str">
        <x:v>城市</x:v>
      </x:c>
      <x:c r="C29" s="9" t="str">
        <x:v>计划年度</x:v>
      </x:c>
      <x:c r="D29" s="9" t="str">
        <x:v>计划屏幕周数</x:v>
      </x:c>
      <x:c r="E29" s="9" t="str">
        <x:v>计划净金额（人民币）</x:v>
      </x:c>
      <x:c r="F29" s="9" t="str">
        <x:v>理由声称</x:v>
      </x:c>
      <x:c r="G29" s="2"/>
    </x:row>
    <x:row r="30" ht="48" customHeight="1">
      <x:c r="A30" s="2" t="str">
        <x:v>P04-SH</x:v>
      </x:c>
      <x:c r="B30" s="2" t="str">
        <x:v>上海</x:v>
      </x:c>
      <x:c r="C30" s="13" t="n">
        <x:v>2027</x:v>
      </x:c>
      <x:c r="D30" s="12" t="n">
        <x:v>1000</x:v>
      </x:c>
      <x:c r="E30" s="12" t="n">
        <x:v>95000</x:v>
      </x:c>
      <x:c r="F30" s="4" t="str">
        <x:v>无</x:v>
      </x:c>
      <x:c r="G30" s="2"/>
    </x:row>
    <x:row r="31" ht="48" customHeight="1">
      <x:c r="A31" s="2" t="str">
        <x:v>P04-CD</x:v>
      </x:c>
      <x:c r="B31" s="2" t="str">
        <x:v>成都</x:v>
      </x:c>
      <x:c r="C31" s="13" t="n">
        <x:v>2027</x:v>
      </x:c>
      <x:c r="D31" s="12" t="n">
        <x:v>1000</x:v>
      </x:c>
      <x:c r="E31" s="12" t="n">
        <x:v>58000</x:v>
      </x:c>
      <x:c r="F31" s="4" t="str">
        <x:v>无</x:v>
      </x:c>
      <x:c r="G31" s="2"/>
    </x:row>
    <x:row r="32" ht="48" customHeight="1">
      <x:c r="A32" s="2" t="str">
        <x:v>P04-BJ</x:v>
      </x:c>
      <x:c r="B32" s="2" t="str">
        <x:v>北京</x:v>
      </x:c>
      <x:c r="C32" s="13" t="n">
        <x:v>2027</x:v>
      </x:c>
      <x:c r="D32" s="12" t="n">
        <x:v>1000</x:v>
      </x:c>
      <x:c r="E32" s="12" t="n">
        <x:v>120000</x:v>
      </x:c>
      <x:c r="F32" s="4" t="str">
        <x:v>物业成本上涨约6%，未附证据</x:v>
      </x:c>
      <x:c r="G32" s="2"/>
    </x:row>
    <x:row r="33" ht="48" customHeight="1">
      <x:c r="A33" s="2" t="str">
        <x:v>P04-GZ</x:v>
      </x:c>
      <x:c r="B33" s="2" t="str">
        <x:v>广州</x:v>
      </x:c>
      <x:c r="C33" s="13" t="n">
        <x:v>2027</x:v>
      </x:c>
      <x:c r="D33" s="12" t="n">
        <x:v>1000</x:v>
      </x:c>
      <x:c r="E33" s="12" t="n">
        <x:v>52000</x:v>
      </x:c>
      <x:c r="F33" s="4" t="str">
        <x:v>无</x:v>
      </x:c>
      <x:c r="G33" s="2"/>
    </x:row>
    <x:row r="34" ht="24" customHeight="1">
      <x:c r="A34" s="2"/>
      <x:c r="B34" s="2"/>
      <x:c r="C34" s="2"/>
      <x:c r="D34" s="2"/>
      <x:c r="E34" s="2"/>
      <x:c r="F34" s="2"/>
      <x:c r="G34" s="2"/>
    </x:row>
    <x:row r="35" ht="24" customHeight="1">
      <x:c r="A35" s="2"/>
      <x:c r="B35" s="2"/>
      <x:c r="C35" s="2"/>
      <x:c r="D35" s="2"/>
      <x:c r="E35" s="2"/>
      <x:c r="F35" s="2"/>
      <x:c r="G35" s="2"/>
    </x:row>
  </x:sheetData>
  <x:conditionalFormatting sqref="G9:G24">
    <x:cfRule type="containsText" dxfId="0" priority="1" operator="containsText" text="排除"/>
  </x:conditionalFormatting>
  <x:pageMargins left="0.7" right="0.7" top="0.75" bottom="0.75" header="0.3" footer="0.3"/>
  <x:tableParts count="2">
    <x:tablePart xmlns:r="http://schemas.openxmlformats.org/officeDocument/2006/relationships" r:id="R0dc5d58f02c54f69"/>
    <x:tablePart xmlns:r="http://schemas.openxmlformats.org/officeDocument/2006/relationships" r:id="R1c75062a8fd141e6"/>
  </x:tableParts>
</x:worksheet>
</file>
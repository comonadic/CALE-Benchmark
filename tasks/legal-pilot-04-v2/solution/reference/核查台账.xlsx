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2951bf689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额核查" sheetId="1" r:id="R02ab6f82f2124f0a"/>
    <x:sheet xmlns:r="http://schemas.openxmlformats.org/officeDocument/2006/relationships" name="责任台账" sheetId="2" r:id="R9c1ec084cf95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0"/>
  </x:numFmts>
  <x:fonts count="7">
    <x:font>
      <x:sz val="11"/>
      <x:name val="Carlito"/>
    </x:font>
    <x:font>
      <x:sz val="11"/>
      <x:color rgb="FF111111"/>
      <x:name val="Arial"/>
    </x:font>
    <x:font>
      <x:b/>
      <x:sz val="15"/>
      <x:color rgb="FF000000"/>
      <x:name val="Arial"/>
    </x:font>
    <x:font>
      <x:sz val="10"/>
      <x:color rgb="FF555555"/>
      <x:name val="Arial"/>
    </x:font>
    <x:font>
      <x:b/>
      <x:sz val="11"/>
      <x:color rgb="FFFFFFFF"/>
      <x:name val="Arial"/>
    </x:font>
    <x:font>
      <x:b/>
      <x:sz val="13"/>
      <x:color rgb="FF111111"/>
      <x:name val="Arial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6f7ce8dab4f5c" /><Relationship Type="http://schemas.openxmlformats.org/officeDocument/2006/relationships/theme" Target="/xl/theme/theme1.xml" Id="R3ab2e255d1804df6" /><Relationship Type="http://schemas.openxmlformats.org/officeDocument/2006/relationships/sharedStrings" Target="/xl/sharedStrings.xml" Id="Rceebf9a439214501" /><Relationship Type="http://schemas.openxmlformats.org/officeDocument/2006/relationships/worksheet" Target="/xl/worksheets/sheet1.xml" Id="R02ab6f82f2124f0a" /><Relationship Type="http://schemas.openxmlformats.org/officeDocument/2006/relationships/worksheet" Target="/xl/worksheets/sheet2.xml" Id="R9c1ec084cf95443f" /></Relationships>
</file>

<file path=xl/tables/table1.xml><?xml version="1.0" encoding="utf-8"?>
<x:table xmlns:x="http://schemas.openxmlformats.org/spreadsheetml/2006/main" id="1" name="RatioReview" displayName="RatioReview" ref="A5:M13" headerRowCount="1" totalsRowCount="0" totalsRowShown="0">
  <x:tableColumns count="13">
    <x:tableColumn id="1" name="比例ID"/>
    <x:tableColumn id="2" name="年度"/>
    <x:tableColumn id="3" name="分子口径"/>
    <x:tableColumn id="4" name="分子金额元"/>
    <x:tableColumn id="5" name="公布百分数"/>
    <x:tableColumn id="6" name="分母口径"/>
    <x:tableColumn id="7" name="点估计元"/>
    <x:tableColumn id="8" name="下界元"/>
    <x:tableColumn id="9" name="上界元"/>
    <x:tableColumn id="10" name="边界"/>
    <x:tableColumn id="11" name="来源定位"/>
    <x:tableColumn id="12" name="事实角色"/>
    <x:tableColumn id="13" name="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Review" displayName="PeopleReview" ref="A5:K13" headerRowCount="1" totalsRowCount="0" totalsRowShown="0">
  <x:tableColumns count="11">
    <x:tableColumn id="1" name="姓名"/>
    <x:tableColumn id="2" name="岗位任期"/>
    <x:tableColumn id="3" name="责任年度"/>
    <x:tableColumn id="4" name="认定行为及签字"/>
    <x:tableColumn id="5" name="责任类别"/>
    <x:tableColumn id="6" name="个人申辩"/>
    <x:tableColumn id="7" name="监管回应"/>
    <x:tableColumn id="8" name="罚款元"/>
    <x:tableColumn id="9" name="禁入年数"/>
    <x:tableColumn id="10" name="来源定位"/>
    <x:tableColumn id="11" name="补证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dfcd4249e542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b1b06773244373" /></Relationships>
</file>

<file path=xl/worksheets/sheet1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20" hidden="0" customWidth="1"/>
    <x:col min="4" max="4" width="23" hidden="0" customWidth="1"/>
    <x:col min="5" max="5" width="15" hidden="0" customWidth="1"/>
    <x:col min="6" max="6" width="29" hidden="0" customWidth="1"/>
    <x:col min="7" max="7" width="23" hidden="0" customWidth="1"/>
    <x:col min="8" max="8" width="23" hidden="0" customWidth="1"/>
    <x:col min="9" max="9" width="23" hidden="0" customWidth="1"/>
    <x:col min="10" max="10" width="18" hidden="0" customWidth="1"/>
    <x:col min="11" max="11" width="12" hidden="0" customWidth="1"/>
    <x:col min="12" max="12" width="35" hidden="0" customWidth="1"/>
    <x:col min="13" max="13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九有处罚决定金额核查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反推遵循本次核查四舍五入约定，真实百分数区间为[p−0.005,p+0.005)。金额单位人民币元。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" t="str">
        <x:v>来源  L041处罚决定P15及P18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15" t="str">
        <x:v>比例ID</x:v>
      </x:c>
      <x:c r="B5" s="15" t="str">
        <x:v>年度</x:v>
      </x:c>
      <x:c r="C5" s="15" t="str">
        <x:v>分子口径</x:v>
      </x:c>
      <x:c r="D5" s="15" t="str">
        <x:v>分子金额元</x:v>
      </x:c>
      <x:c r="E5" s="15" t="str">
        <x:v>公布百分数</x:v>
      </x:c>
      <x:c r="F5" s="15" t="str">
        <x:v>分母口径</x:v>
      </x:c>
      <x:c r="G5" s="15" t="str">
        <x:v>点估计元</x:v>
      </x:c>
      <x:c r="H5" s="15" t="str">
        <x:v>下界元</x:v>
      </x:c>
      <x:c r="I5" s="15" t="str">
        <x:v>上界元</x:v>
      </x:c>
      <x:c r="J5" s="15" t="str">
        <x:v>边界</x:v>
      </x:c>
      <x:c r="K5" s="15" t="str">
        <x:v>来源定位</x:v>
      </x:c>
      <x:c r="L5" s="15" t="str">
        <x:v>事实角色</x:v>
      </x:c>
      <x:c r="M5" s="15" t="str">
        <x:v>限制</x:v>
      </x:c>
    </x:row>
    <x:row r="6" ht="60" customHeight="1">
      <x:c r="A6" s="8" t="str">
        <x:v>R01</x:v>
      </x:c>
      <x:c r="B6" s="9" t="n">
        <x:v>2020</x:v>
      </x:c>
      <x:c r="C6" s="8" t="str">
        <x:v>关联赠与交易金额</x:v>
      </x:c>
      <x:c r="D6" s="10" t="n">
        <x:v>63973167.75</x:v>
      </x:c>
      <x:c r="E6" s="11" t="n">
        <x:v>142.3</x:v>
      </x:c>
      <x:c r="F6" s="8" t="str">
        <x:v>当期披露净资产</x:v>
      </x:c>
      <x:c r="G6" s="10" t="n">
        <x:f>D6/(E6/100)</x:f>
        <x:v>44956547.962052</x:v>
      </x:c>
      <x:c r="H6" s="10" t="n">
        <x:f>D6/((E6+0.005)/100)</x:f>
        <x:v>44954968.37778012</x:v>
      </x:c>
      <x:c r="I6" s="10" t="n">
        <x:f>D6/((E6-0.005)/100)</x:f>
        <x:v>44958127.65733159</x:v>
      </x:c>
      <x:c r="J6" s="8" t="str">
        <x:v>(下界,上界]</x:v>
      </x:c>
      <x:c r="K6" s="8" t="str">
        <x:v>P15</x:v>
      </x:c>
      <x:c r="L6" s="8" t="str">
        <x:v>金额及比例为监管认定；反推为条件估计</x:v>
      </x:c>
      <x:c r="M6" s="8" t="str">
        <x:v>仅条件数学估计，不是精确年报金额</x:v>
      </x:c>
    </x:row>
    <x:row r="7" ht="60" customHeight="1">
      <x:c r="A7" s="8" t="str">
        <x:v>R02</x:v>
      </x:c>
      <x:c r="B7" s="9" t="n">
        <x:v>2020</x:v>
      </x:c>
      <x:c r="C7" s="8" t="str">
        <x:v>虚增利润总额</x:v>
      </x:c>
      <x:c r="D7" s="10" t="n">
        <x:v>63973167.75</x:v>
      </x:c>
      <x:c r="E7" s="11" t="n">
        <x:v>471.03</x:v>
      </x:c>
      <x:c r="F7" s="8" t="str">
        <x:v>当期披露利润总额</x:v>
      </x:c>
      <x:c r="G7" s="10" t="n">
        <x:f>D7/(E7/100)</x:f>
        <x:v>13581548.46825043</x:v>
      </x:c>
      <x:c r="H7" s="10" t="n">
        <x:f>D7/((E7+0.005)/100)</x:f>
        <x:v>13581404.30116658</x:v>
      </x:c>
      <x:c r="I7" s="10" t="n">
        <x:f>D7/((E7-0.005)/100)</x:f>
        <x:v>13581692.638394991</x:v>
      </x:c>
      <x:c r="J7" s="8" t="str">
        <x:v>(下界,上界]</x:v>
      </x:c>
      <x:c r="K7" s="8" t="str">
        <x:v>P15</x:v>
      </x:c>
      <x:c r="L7" s="8" t="str">
        <x:v>金额及比例为监管认定；反推为条件估计</x:v>
      </x:c>
      <x:c r="M7" s="8" t="str">
        <x:v>仅条件数学估计，不是精确年报金额</x:v>
      </x:c>
    </x:row>
    <x:row r="8" ht="60" customHeight="1">
      <x:c r="A8" s="8" t="str">
        <x:v>R03</x:v>
      </x:c>
      <x:c r="B8" s="9" t="n">
        <x:v>2021</x:v>
      </x:c>
      <x:c r="C8" s="8" t="str">
        <x:v>虚增营业收入</x:v>
      </x:c>
      <x:c r="D8" s="10" t="n">
        <x:v>43712098.4</x:v>
      </x:c>
      <x:c r="E8" s="11" t="n">
        <x:v>16.29</x:v>
      </x:c>
      <x:c r="F8" s="8" t="str">
        <x:v>当期披露营业收入</x:v>
      </x:c>
      <x:c r="G8" s="10" t="n">
        <x:f>D8/(E8/100)</x:f>
        <x:v>268337006.75260898</x:v>
      </x:c>
      <x:c r="H8" s="10" t="n">
        <x:f>D8/((E8+0.005)/100)</x:f>
        <x:v>268254669.53053087</x:v>
      </x:c>
      <x:c r="I8" s="10" t="n">
        <x:f>D8/((E8-0.005)/100)</x:f>
        <x:v>268419394.534848</x:v>
      </x:c>
      <x:c r="J8" s="8" t="str">
        <x:v>(下界,上界]</x:v>
      </x:c>
      <x:c r="K8" s="8" t="str">
        <x:v>P18</x:v>
      </x:c>
      <x:c r="L8" s="8" t="str">
        <x:v>金额及比例为监管认定；反推为条件估计</x:v>
      </x:c>
      <x:c r="M8" s="8" t="str">
        <x:v>仅条件数学估计，不是精确年报金额</x:v>
      </x:c>
    </x:row>
    <x:row r="9" ht="60" customHeight="1">
      <x:c r="A9" s="8" t="str">
        <x:v>R04</x:v>
      </x:c>
      <x:c r="B9" s="9" t="n">
        <x:v>2021</x:v>
      </x:c>
      <x:c r="C9" s="8" t="str">
        <x:v>虚增利润总额</x:v>
      </x:c>
      <x:c r="D9" s="10" t="n">
        <x:v>4529090.07</x:v>
      </x:c>
      <x:c r="E9" s="11" t="n">
        <x:v>5.07</x:v>
      </x:c>
      <x:c r="F9" s="8" t="str">
        <x:v>当期披露利润总额绝对值</x:v>
      </x:c>
      <x:c r="G9" s="10" t="n">
        <x:f>D9/(E9/100)</x:f>
        <x:v>89331165.0887574</x:v>
      </x:c>
      <x:c r="H9" s="10" t="n">
        <x:f>D9/((E9+0.005)/100)</x:f>
        <x:v>89243154.08866996</x:v>
      </x:c>
      <x:c r="I9" s="10" t="n">
        <x:f>D9/((E9-0.005)/100)</x:f>
        <x:v>89419349.85192499</x:v>
      </x:c>
      <x:c r="J9" s="8" t="str">
        <x:v>(下界,上界]</x:v>
      </x:c>
      <x:c r="K9" s="8" t="str">
        <x:v>P18</x:v>
      </x:c>
      <x:c r="L9" s="8" t="str">
        <x:v>金额及比例为监管认定；反推为条件估计</x:v>
      </x:c>
      <x:c r="M9" s="8" t="str">
        <x:v>绝对值不能推出正负号，不能称净利润</x:v>
      </x:c>
    </x:row>
    <x:row r="10" ht="60" customHeight="1">
      <x:c r="A10" s="8" t="str">
        <x:v>R05</x:v>
      </x:c>
      <x:c r="B10" s="9" t="n">
        <x:v>2022</x:v>
      </x:c>
      <x:c r="C10" s="8" t="str">
        <x:v>虚增营业收入</x:v>
      </x:c>
      <x:c r="D10" s="10" t="n">
        <x:v>151418026.84</x:v>
      </x:c>
      <x:c r="E10" s="11" t="n">
        <x:v>49.44</x:v>
      </x:c>
      <x:c r="F10" s="8" t="str">
        <x:v>当期披露营业收入</x:v>
      </x:c>
      <x:c r="G10" s="10" t="n">
        <x:f>D10/(E10/100)</x:f>
        <x:v>306266235.5177994</x:v>
      </x:c>
      <x:c r="H10" s="10" t="n">
        <x:f>D10/((E10+0.005)/100)</x:f>
        <x:v>306235265.12286377</x:v>
      </x:c>
      <x:c r="I10" s="10" t="n">
        <x:f>D10/((E10-0.005)/100)</x:f>
        <x:v>306297212.177607</x:v>
      </x:c>
      <x:c r="J10" s="8" t="str">
        <x:v>(下界,上界]</x:v>
      </x:c>
      <x:c r="K10" s="8" t="str">
        <x:v>P18</x:v>
      </x:c>
      <x:c r="L10" s="8" t="str">
        <x:v>金额及比例为监管认定；反推为条件估计</x:v>
      </x:c>
      <x:c r="M10" s="8" t="str">
        <x:v>仅条件数学估计，不是精确年报金额</x:v>
      </x:c>
    </x:row>
    <x:row r="11" ht="60" customHeight="1">
      <x:c r="A11" s="8" t="str">
        <x:v>R06</x:v>
      </x:c>
      <x:c r="B11" s="9" t="n">
        <x:v>2022</x:v>
      </x:c>
      <x:c r="C11" s="8" t="str">
        <x:v>虚增利润总额</x:v>
      </x:c>
      <x:c r="D11" s="10" t="n">
        <x:v>11992778.71</x:v>
      </x:c>
      <x:c r="E11" s="11" t="n">
        <x:v>13.49</x:v>
      </x:c>
      <x:c r="F11" s="8" t="str">
        <x:v>当期披露利润总额绝对值</x:v>
      </x:c>
      <x:c r="G11" s="10" t="n">
        <x:f>D11/(E11/100)</x:f>
        <x:v>88901250.63009638</x:v>
      </x:c>
      <x:c r="H11" s="10" t="n">
        <x:f>D11/((E11+0.005)/100)</x:f>
        <x:v>88868312.04149684</x:v>
      </x:c>
      <x:c r="I11" s="10" t="n">
        <x:f>D11/((E11-0.005)/100)</x:f>
        <x:v>88934213.64479052</x:v>
      </x:c>
      <x:c r="J11" s="8" t="str">
        <x:v>(下界,上界]</x:v>
      </x:c>
      <x:c r="K11" s="8" t="str">
        <x:v>P18</x:v>
      </x:c>
      <x:c r="L11" s="8" t="str">
        <x:v>金额及比例为监管认定；反推为条件估计</x:v>
      </x:c>
      <x:c r="M11" s="8" t="str">
        <x:v>绝对值不能推出正负号，不能称净利润</x:v>
      </x:c>
    </x:row>
    <x:row r="12" ht="60" customHeight="1">
      <x:c r="A12" s="8" t="str">
        <x:v>R07</x:v>
      </x:c>
      <x:c r="B12" s="9" t="n">
        <x:v>2023</x:v>
      </x:c>
      <x:c r="C12" s="8" t="str">
        <x:v>虚增营业收入</x:v>
      </x:c>
      <x:c r="D12" s="10" t="n">
        <x:v>164224867.76</x:v>
      </x:c>
      <x:c r="E12" s="11" t="n">
        <x:v>40.64</x:v>
      </x:c>
      <x:c r="F12" s="8" t="str">
        <x:v>当期披露营业收入</x:v>
      </x:c>
      <x:c r="G12" s="10" t="n">
        <x:f>D12/(E12/100)</x:f>
        <x:v>404096623.4251968</x:v>
      </x:c>
      <x:c r="H12" s="10" t="n">
        <x:f>D12/((E12+0.005)/100)</x:f>
        <x:v>404046912.9290195</x:v>
      </x:c>
      <x:c r="I12" s="10" t="n">
        <x:f>D12/((E12-0.005)/100)</x:f>
        <x:v>404146346.15479267</x:v>
      </x:c>
      <x:c r="J12" s="8" t="str">
        <x:v>(下界,上界]</x:v>
      </x:c>
      <x:c r="K12" s="8" t="str">
        <x:v>P18</x:v>
      </x:c>
      <x:c r="L12" s="8" t="str">
        <x:v>金额及比例为监管认定；反推为条件估计</x:v>
      </x:c>
      <x:c r="M12" s="8" t="str">
        <x:v>仅条件数学估计，不是精确年报金额</x:v>
      </x:c>
    </x:row>
    <x:row r="13" ht="60" customHeight="1">
      <x:c r="A13" s="8" t="str">
        <x:v>R08</x:v>
      </x:c>
      <x:c r="B13" s="9" t="n">
        <x:v>2023</x:v>
      </x:c>
      <x:c r="C13" s="8" t="str">
        <x:v>虚增利润总额</x:v>
      </x:c>
      <x:c r="D13" s="10" t="n">
        <x:v>17837345.39</x:v>
      </x:c>
      <x:c r="E13" s="11" t="n">
        <x:v>27.61</x:v>
      </x:c>
      <x:c r="F13" s="8" t="str">
        <x:v>当期披露利润总额绝对值</x:v>
      </x:c>
      <x:c r="G13" s="10" t="n">
        <x:f>D13/(E13/100)</x:f>
        <x:v>64604655.5233611</x:v>
      </x:c>
      <x:c r="H13" s="10" t="n">
        <x:f>D13/((E13+0.005)/100)</x:f>
        <x:v>64592958.13869274</x:v>
      </x:c>
      <x:c r="I13" s="10" t="n">
        <x:f>D13/((E13-0.005)/100)</x:f>
        <x:v>64616357.14544466</x:v>
      </x:c>
      <x:c r="J13" s="8" t="str">
        <x:v>(下界,上界]</x:v>
      </x:c>
      <x:c r="K13" s="8" t="str">
        <x:v>P18</x:v>
      </x:c>
      <x:c r="L13" s="8" t="str">
        <x:v>金额及比例为监管认定；反推为条件估计</x:v>
      </x:c>
      <x:c r="M13" s="8" t="str">
        <x:v>绝对值不能推出正负号，不能称净利润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16" t="str">
        <x:v>2020年同一赠与事项的科目影响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46" customHeight="1">
      <x:c r="A17" s="15" t="str">
        <x:v>影响ID</x:v>
      </x:c>
      <x:c r="B17" s="15" t="str">
        <x:v>年度</x:v>
      </x:c>
      <x:c r="C17" s="15" t="str">
        <x:v>科目</x:v>
      </x:c>
      <x:c r="D17" s="15" t="str">
        <x:v>金额元</x:v>
      </x:c>
      <x:c r="E17" s="15" t="str">
        <x:v>方向</x:v>
      </x:c>
      <x:c r="F17" s="15" t="str">
        <x:v>使用边界</x:v>
      </x:c>
      <x:c r="G17" s="2"/>
      <x:c r="H17" s="2"/>
      <x:c r="I17" s="2"/>
      <x:c r="J17" s="2"/>
      <x:c r="K17" s="2"/>
      <x:c r="L17" s="2"/>
      <x:c r="M17" s="2"/>
    </x:row>
    <x:row r="18" ht="34" customHeight="1">
      <x:c r="A18" s="2" t="str">
        <x:v>I01</x:v>
      </x:c>
      <x:c r="B18" s="2" t="n">
        <x:v>2020</x:v>
      </x:c>
      <x:c r="C18" s="2" t="str">
        <x:v>营业外收入</x:v>
      </x:c>
      <x:c r="D18" s="5" t="n">
        <x:v>63973167.75</x:v>
      </x:c>
      <x:c r="E18" s="2" t="str">
        <x:v>虚增</x:v>
      </x:c>
      <x:c r="F18" s="8" t="str">
        <x:v>同一事项，非独立损失</x:v>
      </x:c>
      <x:c r="G18" s="2"/>
      <x:c r="H18" s="2"/>
      <x:c r="I18" s="2"/>
      <x:c r="J18" s="2"/>
      <x:c r="K18" s="2"/>
      <x:c r="L18" s="2"/>
      <x:c r="M18" s="2"/>
    </x:row>
    <x:row r="19" ht="34" customHeight="1">
      <x:c r="A19" s="2" t="str">
        <x:v>I02</x:v>
      </x:c>
      <x:c r="B19" s="2" t="n">
        <x:v>2020</x:v>
      </x:c>
      <x:c r="C19" s="2" t="str">
        <x:v>资本公积</x:v>
      </x:c>
      <x:c r="D19" s="5" t="n">
        <x:v>63973167.75</x:v>
      </x:c>
      <x:c r="E19" s="2" t="str">
        <x:v>虚减</x:v>
      </x:c>
      <x:c r="F19" s="8" t="str">
        <x:v>同一事项，非独立损失</x:v>
      </x:c>
      <x:c r="G19" s="2"/>
      <x:c r="H19" s="2"/>
      <x:c r="I19" s="2"/>
      <x:c r="J19" s="2"/>
      <x:c r="K19" s="2"/>
      <x:c r="L19" s="2"/>
      <x:c r="M19" s="2"/>
    </x:row>
    <x:row r="20" ht="34" customHeight="1">
      <x:c r="A20" s="2" t="str">
        <x:v>I03</x:v>
      </x:c>
      <x:c r="B20" s="2" t="n">
        <x:v>2020</x:v>
      </x:c>
      <x:c r="C20" s="2" t="str">
        <x:v>利润总额</x:v>
      </x:c>
      <x:c r="D20" s="5" t="n">
        <x:v>63973167.75</x:v>
      </x:c>
      <x:c r="E20" s="2" t="str">
        <x:v>虚增</x:v>
      </x:c>
      <x:c r="F20" s="8" t="str">
        <x:v>收入影响结果，非净利润</x:v>
      </x:c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str">
        <x:v>科目相加不能认定191,919,503.25元损失；现有资料缺少民事损失、税务或现金流损害基础。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16" t="str">
        <x:v>2021至2023年按可比指标汇总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46" customHeight="1">
      <x:c r="A26" s="15" t="str">
        <x:v>指标</x:v>
      </x:c>
      <x:c r="B26" s="15" t="str">
        <x:v>年度范围</x:v>
      </x:c>
      <x:c r="C26" s="15" t="str">
        <x:v>合计元</x:v>
      </x:c>
      <x:c r="D26" s="15" t="str">
        <x:v>使用边界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55" customHeight="1">
      <x:c r="A27" s="8" t="str">
        <x:v>虚增营业收入</x:v>
      </x:c>
      <x:c r="B27" s="8" t="str">
        <x:v>2021–2023</x:v>
      </x:c>
      <x:c r="C27" s="10" t="n">
        <x:f>SUM(D8,D10,D12)</x:f>
        <x:v>359354993</x:v>
      </x:c>
      <x:c r="D27" s="8" t="str">
        <x:v>仅披露口径汇总，不是损失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55" customHeight="1">
      <x:c r="A28" s="8" t="str">
        <x:v>虚增利润总额</x:v>
      </x:c>
      <x:c r="B28" s="8" t="str">
        <x:v>2021–2023</x:v>
      </x:c>
      <x:c r="C28" s="10" t="n">
        <x:f>SUM(D9,D11,D13)</x:f>
        <x:v>34359214.17</x:v>
      </x:c>
      <x:c r="D28" s="8" t="str">
        <x:v>不能与营收相加作损失或分摊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 t="str">
        <x:v>方法  点估计a÷(p÷100)。分母区间为(a÷((p+0.005)÷100), a÷((p−0.005)÷100)]。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 t="str">
        <x:v>2021至2023年利润分母是绝对值，无法推出正负或真实净利润。显示至分不改变未舍入边界。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 t="str">
        <x:v>决定未分摊各子公司或个人的年度虚增金额，反推不能恢复精确年报。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</x:sheetData>
  <x:pageMargins left="0.7" right="0.7" top="0.75" bottom="0.75" header="0.3" footer="0.3"/>
  <x:tableParts count="1">
    <x:tablePart xmlns:r="http://schemas.openxmlformats.org/officeDocument/2006/relationships" r:id="R2ddfcd4249e542de"/>
  </x:tableParts>
</x:worksheet>
</file>

<file path=xl/worksheets/sheet2.xml><?xml version="1.0" encoding="utf-8"?>
<x:worksheet xmlns:x="http://schemas.openxmlformats.org/spreadsheetml/2006/main">
  <x:sheetPr>
    <x:tabColor rgb="FF3449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5" hidden="0" customWidth="1"/>
    <x:col min="4" max="4" width="51" hidden="0" customWidth="1"/>
    <x:col min="5" max="5" width="25" hidden="0" customWidth="1"/>
    <x:col min="6" max="6" width="55" hidden="0" customWidth="1"/>
    <x:col min="7" max="7" width="55" hidden="0" customWidth="1"/>
    <x:col min="8" max="8" width="20" hidden="0" customWidth="1"/>
    <x:col min="9" max="9" width="15" hidden="0" customWidth="1"/>
    <x:col min="10" max="10" width="30" hidden="0" customWidth="1"/>
    <x:col min="11" max="11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九有处罚决定八人责任核查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八人均给予警告。禁入年数0仅表示本决定未采取禁入，不能推断其他案件。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4" t="str">
        <x:v>来源  L041处罚决定P12、P16、P19至P45  https://www.csrc.gov.cn/csrc/c101928/c7630095/content.shtml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6" customHeight="1">
      <x:c r="A5" s="15" t="str">
        <x:v>姓名</x:v>
      </x:c>
      <x:c r="B5" s="15" t="str">
        <x:v>岗位任期</x:v>
      </x:c>
      <x:c r="C5" s="15" t="str">
        <x:v>责任年度</x:v>
      </x:c>
      <x:c r="D5" s="15" t="str">
        <x:v>认定行为及签字</x:v>
      </x:c>
      <x:c r="E5" s="15" t="str">
        <x:v>责任类别</x:v>
      </x:c>
      <x:c r="F5" s="15" t="str">
        <x:v>个人申辩</x:v>
      </x:c>
      <x:c r="G5" s="15" t="str">
        <x:v>监管回应</x:v>
      </x:c>
      <x:c r="H5" s="15" t="str">
        <x:v>罚款元</x:v>
      </x:c>
      <x:c r="I5" s="15" t="str">
        <x:v>禁入年数</x:v>
      </x:c>
      <x:c r="J5" s="15" t="str">
        <x:v>来源定位</x:v>
      </x:c>
      <x:c r="K5" s="15" t="str">
        <x:v>补证行动</x:v>
      </x:c>
    </x:row>
    <x:row r="6" ht="115" customHeight="1">
      <x:c r="A6" s="8" t="str">
        <x:v>金铉玉</x:v>
      </x:c>
      <x:c r="B6" s="8" t="str">
        <x:v>2020年4月起 财务总监</x:v>
      </x:c>
      <x:c r="C6" s="8" t="str">
        <x:v>2021–2023</x:v>
      </x:c>
      <x:c r="D6" s="8" t="str">
        <x:v>根据李某安排参与案涉行为；签署2021–2023年年度报告</x:v>
      </x:c>
      <x:c r="E6" s="8" t="str">
        <x:v>直接负责的主管人员</x:v>
      </x:c>
      <x:c r="F6" s="8" t="str">
        <x:v>事实不清、证据不足；不知悉未参与；职权有限且已勤勉；处罚偏重，请求从轻或减轻</x:v>
      </x:c>
      <x:c r="G6" s="8" t="str">
        <x:v>证据相互印证；按指令划转资金；组建工作群讨论划款方案；财务总监签字保证但未勤勉尽责</x:v>
      </x:c>
      <x:c r="H6" s="10" t="n">
        <x:v>3000000</x:v>
      </x:c>
      <x:c r="I6" s="9" t="n">
        <x:v>3</x:v>
      </x:c>
      <x:c r="J6" s="8" t="str">
        <x:v>P19、P28、P29、P31、P40、P44</x:v>
      </x:c>
      <x:c r="K6" s="8" t="str">
        <x:v>调取具体划款指令、审批权限和群聊原始记录，核对监管所述参与行为与勤勉措施。</x:v>
      </x:c>
    </x:row>
    <x:row r="7" ht="115" customHeight="1">
      <x:c r="A7" s="8" t="str">
        <x:v>朱文龙</x:v>
      </x:c>
      <x:c r="B7" s="8" t="str">
        <x:v>2020年8月–2023年7月 副总经理；2020年12月–2023年7月 副董事长</x:v>
      </x:c>
      <x:c r="C7" s="8" t="str">
        <x:v>2021–2022</x:v>
      </x:c>
      <x:c r="D7" s="8" t="str">
        <x:v>分管北京中广阳并参与案涉行为；签署2021–2022年年度报告</x:v>
      </x:c>
      <x:c r="E7" s="8" t="str">
        <x:v>直接负责的主管人员</x:v>
      </x:c>
      <x:c r="F7" s="8" t="str">
        <x:v>事实认定错误；无主观故意；处罚过重，请求从轻或减轻</x:v>
      </x:c>
      <x:c r="G7" s="8" t="str">
        <x:v>董事、副总经理分管北京中广阳并参与；签字保证2021、2022年报；构成未勤勉尽责</x:v>
      </x:c>
      <x:c r="H7" s="10" t="n">
        <x:v>3000000</x:v>
      </x:c>
      <x:c r="I7" s="9" t="n">
        <x:v>3</x:v>
      </x:c>
      <x:c r="J7" s="8" t="str">
        <x:v>P20、P28、P29、P32、P40、P44</x:v>
      </x:c>
      <x:c r="K7" s="8" t="str">
        <x:v>调取分工文件、北京中广阳业务审批及董事会质询资料；回应参与和管理职责，不仅凭否认故意。</x:v>
      </x:c>
    </x:row>
    <x:row r="8" ht="115" customHeight="1">
      <x:c r="A8" s="8" t="str">
        <x:v>肖自然</x:v>
      </x:c>
      <x:c r="B8" s="8" t="str">
        <x:v>2020年11月–2022年10月 董秘；2020年7月–2023年8月 总经理；2023年8月–2024年9月 董事长</x:v>
      </x:c>
      <x:c r="C8" s="8" t="str">
        <x:v>2021–2023</x:v>
      </x:c>
      <x:c r="D8" s="8" t="str">
        <x:v>任职期间未有效管理和关注经营情况；签署2021–2023年年度报告</x:v>
      </x:c>
      <x:c r="E8" s="8" t="str">
        <x:v>直接负责的主管人员</x:v>
      </x:c>
      <x:c r="F8" s="8" t="str">
        <x:v>无知情权限和实际认知；未实际履职；按内部流程签字，请求从轻、减轻或免罚</x:v>
      </x:c>
      <x:c r="G8" s="8" t="str">
        <x:v>虽不知情、未实际履职，但签字保证相关年报足以证明未勤勉尽责；量罚适当</x:v>
      </x:c>
      <x:c r="H8" s="10" t="n">
        <x:v>1500000</x:v>
      </x:c>
      <x:c r="I8" s="9" t="n">
        <x:v>0</x:v>
      </x:c>
      <x:c r="J8" s="8" t="str">
        <x:v>P21、P28、P29、P33、P41</x:v>
      </x:c>
      <x:c r="K8" s="8" t="str">
        <x:v>调取履职范围、取得信息的请求与障碍记录、年报审阅和异议记录；不将不知情直接等同免责。</x:v>
      </x:c>
    </x:row>
    <x:row r="9" ht="115" customHeight="1">
      <x:c r="A9" s="8" t="str">
        <x:v>曹放</x:v>
      </x:c>
      <x:c r="B9" s="8" t="str">
        <x:v>2020年12月–2023年7月 董事长</x:v>
      </x:c>
      <x:c r="C9" s="8" t="str">
        <x:v>2021–2022</x:v>
      </x:c>
      <x:c r="D9" s="8" t="str">
        <x:v>未审慎了解和关注经营情况；签署2021–2022年年度报告</x:v>
      </x:c>
      <x:c r="E9" s="8" t="str">
        <x:v>直接负责的主管人员</x:v>
      </x:c>
      <x:c r="F9" s="8" t="str">
        <x:v>被动担任董事长；未参与任何经营；量罚过重，请求减轻</x:v>
      </x:c>
      <x:c r="G9" s="8" t="str">
        <x:v>说明和证据不足以证明勤勉尽责；量罚适当</x:v>
      </x:c>
      <x:c r="H9" s="10" t="n">
        <x:v>1500000</x:v>
      </x:c>
      <x:c r="I9" s="9" t="n">
        <x:v>0</x:v>
      </x:c>
      <x:c r="J9" s="8" t="str">
        <x:v>P22、P28、P29、P34、P41</x:v>
      </x:c>
      <x:c r="K9" s="8" t="str">
        <x:v>调取董事会审议、质询和风险提示处理记录；补证须对应勤勉义务履行。</x:v>
      </x:c>
    </x:row>
    <x:row r="10" ht="115" customHeight="1">
      <x:c r="A10" s="8" t="str">
        <x:v>包笠</x:v>
      </x:c>
      <x:c r="B10" s="8" t="str">
        <x:v>2019年11月–2022年10月 董事</x:v>
      </x:c>
      <x:c r="C10" s="8" t="str">
        <x:v>2020</x:v>
      </x:c>
      <x:c r="D10" s="8" t="str">
        <x:v>参与无偿赠与事项；签署2020年年度报告</x:v>
      </x:c>
      <x:c r="E10" s="8" t="str">
        <x:v>其他直接责任人员</x:v>
      </x:c>
      <x:c r="F10" s="8" t="str">
        <x:v>不知悉未参与；主持会议和签字系本职工作；处罚不公平，请求免罚</x:v>
      </x:c>
      <x:c r="G10" s="8" t="str">
        <x:v>参与相关事项、主持相关董事会审议；说明和证据不足以证明勤勉；量罚适当</x:v>
      </x:c>
      <x:c r="H10" s="10" t="n">
        <x:v>1500000</x:v>
      </x:c>
      <x:c r="I10" s="9" t="n">
        <x:v>0</x:v>
      </x:c>
      <x:c r="J10" s="8" t="str">
        <x:v>P16、P27、P29、P35、P41</x:v>
      </x:c>
      <x:c r="K10" s="8" t="str">
        <x:v>调取赠与审议资料、关联关系识别及披露审核记录；任期重叠不能扩成全部年度责任。</x:v>
      </x:c>
    </x:row>
    <x:row r="11" ht="115" customHeight="1">
      <x:c r="A11" s="8" t="str">
        <x:v>任希宁</x:v>
      </x:c>
      <x:c r="B11" s="8" t="str">
        <x:v>2022年11月–2023年12月 北京至谋总经理</x:v>
      </x:c>
      <x:c r="C11" s="8" t="str">
        <x:v>2022–2023</x:v>
      </x:c>
      <x:c r="D11" s="8" t="str">
        <x:v>根据李某安排参与北京中广阳案涉行为，直接导致2022–2023年年报虚假记载；决定未称其签署年报</x:v>
      </x:c>
      <x:c r="E11" s="8" t="str">
        <x:v>其他直接责任人员</x:v>
      </x:c>
      <x:c r="F11" s="8" t="str">
        <x:v>被动参与、按公司要求实施、主观恶性小，请求从轻</x:v>
      </x:c>
      <x:c r="G11" s="8" t="str">
        <x:v>参与2022–2023年业务单据编制和匹配资金冒充回款，直接导致违法；量罚适当</x:v>
      </x:c>
      <x:c r="H11" s="10" t="n">
        <x:v>1000000</x:v>
      </x:c>
      <x:c r="I11" s="9" t="n">
        <x:v>0</x:v>
      </x:c>
      <x:c r="J11" s="8" t="str">
        <x:v>P23、P28、P29、P36、P42</x:v>
      </x:c>
      <x:c r="K11" s="8" t="str">
        <x:v>调取单据制作者、指令链和回款匹配流水；岗位在北京至谋与参与北京中广阳不能混同。</x:v>
      </x:c>
    </x:row>
    <x:row r="12" ht="115" customHeight="1">
      <x:c r="A12" s="8" t="str">
        <x:v>王能海</x:v>
      </x:c>
      <x:c r="B12" s="8" t="str">
        <x:v>2023年8月–2024年8月 总经理</x:v>
      </x:c>
      <x:c r="C12" s="8" t="str">
        <x:v>2023</x:v>
      </x:c>
      <x:c r="D12" s="8" t="str">
        <x:v>未有效管理公司；签署2023年年度报告</x:v>
      </x:c>
      <x:c r="E12" s="8" t="str">
        <x:v>其他直接责任人员</x:v>
      </x:c>
      <x:c r="F12" s="8" t="str">
        <x:v>未参与日常经营、已尽力履职、无故意和过错、量罚过重，请求减轻或免罚</x:v>
      </x:c>
      <x:c r="G12" s="8" t="str">
        <x:v>履职受限仍签字保证2023年报，证明未勤勉；认定和处罚程序符合法律规定</x:v>
      </x:c>
      <x:c r="H12" s="10" t="n">
        <x:v>500000</x:v>
      </x:c>
      <x:c r="I12" s="9" t="n">
        <x:v>0</x:v>
      </x:c>
      <x:c r="J12" s="8" t="str">
        <x:v>P12、P24、P28、P29、P37、P43</x:v>
      </x:c>
      <x:c r="K12" s="8" t="str">
        <x:v>调取履职受限材料、年报审查和异议记录；未要求听证不等于未作申辩。</x:v>
      </x:c>
    </x:row>
    <x:row r="13" ht="115" customHeight="1">
      <x:c r="A13" s="8" t="str">
        <x:v>王北</x:v>
      </x:c>
      <x:c r="B13" s="8" t="str">
        <x:v>2018年起 业务总监</x:v>
      </x:c>
      <x:c r="C13" s="8" t="str">
        <x:v>2022</x:v>
      </x:c>
      <x:c r="D13" s="8" t="str">
        <x:v>根据李某安排参与博铭锐创、汉诺睿雅案涉行为，直接导致2022年年报虚假记载；决定未称其签署年报</x:v>
      </x:c>
      <x:c r="E13" s="8" t="str">
        <x:v>其他直接责任人员</x:v>
      </x:c>
      <x:c r="F13" s="8" t="str">
        <x:v>未参与业务洽谈、合同签订、无划款权限且已勤勉，请求免罚</x:v>
      </x:c>
      <x:c r="G13" s="8" t="str">
        <x:v>参与2022年度业务单据编制和资金循环，直接导致违法；量罚适当</x:v>
      </x:c>
      <x:c r="H13" s="10" t="n">
        <x:v>500000</x:v>
      </x:c>
      <x:c r="I13" s="9" t="n">
        <x:v>0</x:v>
      </x:c>
      <x:c r="J13" s="8" t="str">
        <x:v>P25、P28、P29、P38、P43</x:v>
      </x:c>
      <x:c r="K13" s="8" t="str">
        <x:v>调取两子公司单据编制与资金循环分工记录；无划款权限不能消除其他参与路径。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 t="str">
        <x:v>补证为核查建议，未取得底层文件。决定只称采纳部分合理申辩，不能指定获采纳对象。</x:v>
      </x:c>
      <x:c r="B16" s="2"/>
      <x:c r="C16" s="2"/>
      <x:c r="D16" s="2"/>
      <x:c r="E16" s="2"/>
      <x:c r="F16" s="2"/>
      <x:c r="G16" s="17" t="str">
        <x:v>八人罚款合计元</x:v>
      </x:c>
      <x:c r="H16" s="18" t="n">
        <x:f>SUM(H6:H13)</x:f>
        <x:v>12500000</x:v>
      </x:c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 t="str">
        <x:v>宣布、收到、送达日期均未提供，程序期限记录见审改报告S11。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pageMargins left="0.7" right="0.7" top="0.75" bottom="0.75" header="0.3" footer="0.3"/>
  <x:tableParts count="1">
    <x:tablePart xmlns:r="http://schemas.openxmlformats.org/officeDocument/2006/relationships" r:id="R18b1b06773244373"/>
  </x:tableParts>
</x:worksheet>
</file>
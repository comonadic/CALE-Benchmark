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583e35dd8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" sheetId="1" r:id="R52dcceb1498247ef"/>
    <x:sheet xmlns:r="http://schemas.openxmlformats.org/officeDocument/2006/relationships" name="WC" sheetId="2" r:id="Rc196495dcaf74011"/>
    <x:sheet xmlns:r="http://schemas.openxmlformats.org/officeDocument/2006/relationships" name="Inputs" sheetId="3" r:id="Rc765151351ab4be4"/>
    <x:sheet xmlns:r="http://schemas.openxmlformats.org/officeDocument/2006/relationships" name="复核索引" sheetId="4" r:id="Rf5664fcfd2fe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.000x"/>
    <x:numFmt numFmtId="202" formatCode="0.00;(0.00);0.00"/>
    <x:numFmt numFmtId="203" formatCode="#,##0.00;(#,##0.00);0.00"/>
    <x:numFmt numFmtId="204" formatCode="0.000000x"/>
  </x:numFmts>
  <x:fonts count="12">
    <x:font>
      <x:sz val="11"/>
      <x:name val="Carlito"/>
    </x:font>
    <x:font>
      <x:sz val="11"/>
      <x:color rgb="FF212121"/>
      <x:name val="Arial"/>
    </x:font>
    <x:font>
      <x:b/>
      <x:sz val="16"/>
      <x:color rgb="FF20202A"/>
      <x:name val="Arial"/>
    </x:font>
    <x:font>
      <x:i/>
      <x:sz val="11"/>
      <x:color rgb="FF666666"/>
      <x:name val="Arial"/>
    </x:font>
    <x:font>
      <x:b/>
      <x:sz val="11"/>
      <x:color rgb="FFFFFFFF"/>
      <x:name val="Arial"/>
    </x:font>
    <x:font>
      <x:sz val="11"/>
      <x:color rgb="FF222222"/>
      <x:name val="Arial"/>
    </x:font>
    <x:font>
      <x:sz val="11"/>
      <x:color rgb="FF00804A"/>
      <x:name val="Arial"/>
    </x:font>
    <x:font>
      <x:i/>
      <x:sz val="11"/>
      <x:color rgb="FF212121"/>
      <x:name val="Arial"/>
    </x:font>
    <x:font>
      <x:i/>
      <x:sz val="11"/>
      <x:color rgb="FF222222"/>
      <x:name val="Arial"/>
    </x:font>
    <x:font>
      <x:b/>
      <x:sz val="11"/>
      <x:color rgb="FF222222"/>
      <x:name val="Arial"/>
    </x:font>
    <x:font>
      <x:b/>
      <x:sz val="16"/>
      <x:color rgb="FF222222"/>
      <x:name val="Arial"/>
    </x:font>
    <x:font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C334E"/>
      </x:patternFill>
    </x:fill>
    <x:fill>
      <x:patternFill patternType="solid">
        <x:fgColor rgb="FF544963"/>
      </x:patternFill>
    </x:fill>
    <x:fill>
      <x:patternFill patternType="solid">
        <x:fgColor rgb="FF3C334E"/>
      </x:patternFill>
    </x:fill>
  </x:fills>
  <x:borders count="3">
    <x:border/>
    <x:border>
      <x:bottom style="thin">
        <x:color rgb="FFB5A8CC"/>
      </x:bottom>
    </x:border>
    <x:border>
      <x:top style="thin">
        <x:color rgb="FFB7ABCA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0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3" fontId="5" fillId="0" borderId="0" xfId="0" applyNumberFormat="1" applyFont="1" applyFill="1" applyBorder="1"/>
    <x:xf numFmtId="204" fontId="5" fillId="0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  <x:dxf>
      <x:font>
        <x:b/>
        <x:color rgb="FFA50000"/>
      </x:font>
      <x:fill>
        <x:patternFill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a9abbbc3741d1" /><Relationship Type="http://schemas.openxmlformats.org/officeDocument/2006/relationships/theme" Target="/xl/theme/theme1.xml" Id="R2775bdb1469d46b9" /><Relationship Type="http://schemas.openxmlformats.org/officeDocument/2006/relationships/sharedStrings" Target="/xl/sharedStrings.xml" Id="R4a7a22117d434c28" /><Relationship Type="http://schemas.openxmlformats.org/officeDocument/2006/relationships/worksheet" Target="/xl/worksheets/sheet1.xml" Id="R52dcceb1498247ef" /><Relationship Type="http://schemas.openxmlformats.org/officeDocument/2006/relationships/worksheet" Target="/xl/worksheets/sheet2.xml" Id="Rc196495dcaf74011" /><Relationship Type="http://schemas.openxmlformats.org/officeDocument/2006/relationships/worksheet" Target="/xl/worksheets/sheet3.xml" Id="Rc765151351ab4be4" /><Relationship Type="http://schemas.openxmlformats.org/officeDocument/2006/relationships/worksheet" Target="/xl/worksheets/sheet4.xml" Id="Rf5664fcfd2fe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C334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3" hidden="0" customWidth="1"/>
  </x:cols>
  <x:sheetData>
    <x:row r="1" ht="23" customHeight="1">
      <x:c r="A1" s="1"/>
      <x:c r="B1" s="1"/>
      <x:c r="C1" s="3"/>
      <x:c r="D1" s="4"/>
      <x:c r="E1" s="4"/>
      <x:c r="F1" s="4"/>
      <x:c r="G1" s="3"/>
    </x:row>
    <x:row r="2" ht="23" customHeight="1">
      <x:c r="A2" s="1"/>
      <x:c r="B2" s="1"/>
      <x:c r="C2" s="6" t="str">
        <x:v>报喜鸟利润与经营现金流复核</x:v>
      </x:c>
      <x:c r="D2" s="7"/>
      <x:c r="E2" s="7"/>
      <x:c r="F2" s="7"/>
      <x:c r="G2" s="8"/>
    </x:row>
    <x:row r="3" ht="23" customHeight="1">
      <x:c r="A3" s="1"/>
      <x:c r="B3" s="1"/>
      <x:c r="C3" s="3"/>
      <x:c r="D3" s="4"/>
      <x:c r="E3" s="4"/>
      <x:c r="F3" s="4"/>
      <x:c r="G3" s="3"/>
    </x:row>
    <x:row r="4" ht="23" customHeight="1">
      <x:c r="A4" s="1"/>
      <x:c r="B4" s="1"/>
      <x:c r="C4" s="9" t="str">
        <x:v>合并口径，人民币元；负值按原披露保留</x:v>
      </x:c>
      <x:c r="D4" s="10"/>
      <x:c r="E4" s="10"/>
      <x:c r="F4" s="10"/>
      <x:c r="G4" s="9"/>
    </x:row>
    <x:row r="5" ht="23" customHeight="1">
      <x:c r="A5" s="1"/>
      <x:c r="B5" s="1"/>
      <x:c r="C5" s="3"/>
      <x:c r="D5" s="4"/>
      <x:c r="E5" s="4"/>
      <x:c r="F5" s="4"/>
      <x:c r="G5" s="3"/>
    </x:row>
    <x:row r="6" ht="27" customHeight="1">
      <x:c r="A6" s="1"/>
      <x:c r="B6" s="1"/>
      <x:c r="C6" s="15" t="str">
        <x:v>项目</x:v>
      </x:c>
      <x:c r="D6" s="16" t="str">
        <x:v>2024年度</x:v>
      </x:c>
      <x:c r="E6" s="16" t="str">
        <x:v>2025年度</x:v>
      </x:c>
      <x:c r="F6" s="16" t="str">
        <x:v>2025减2024</x:v>
      </x:c>
      <x:c r="G6" s="15" t="str"/>
    </x:row>
    <x:row r="7" ht="23" customHeight="1">
      <x:c r="A7" s="1"/>
      <x:c r="B7" s="1"/>
      <x:c r="C7" s="3" t="str">
        <x:v>净利润</x:v>
      </x:c>
      <x:c r="D7" s="17" t="n">
        <x:f>D20</x:f>
        <x:v>520154868.04</x:v>
      </x:c>
      <x:c r="E7" s="17" t="n">
        <x:f>E20</x:f>
        <x:v>350495471.77</x:v>
      </x:c>
      <x:c r="F7" s="17" t="n">
        <x:f>E7-D7</x:f>
        <x:v>-169659396.27000004</x:v>
      </x:c>
      <x:c r="G7" s="3"/>
    </x:row>
    <x:row r="8" ht="23" customHeight="1">
      <x:c r="A8" s="1"/>
      <x:c r="B8" s="1"/>
      <x:c r="C8" s="3" t="str">
        <x:v>非营运资本调整合计</x:v>
      </x:c>
      <x:c r="D8" s="17" t="n">
        <x:f>SUM(D21:D32)+D36</x:f>
        <x:v>439323078.03</x:v>
      </x:c>
      <x:c r="E8" s="17" t="n">
        <x:f>SUM(E21:E32)+E36</x:f>
        <x:v>450649212.58000004</x:v>
      </x:c>
      <x:c r="F8" s="17" t="n">
        <x:f>E8-D8</x:f>
        <x:v>11326134.550000072</x:v>
      </x:c>
      <x:c r="G8" s="3"/>
    </x:row>
    <x:row r="9" ht="23" customHeight="1">
      <x:c r="A9" s="1"/>
      <x:c r="B9" s="1"/>
      <x:c r="C9" s="3" t="str">
        <x:v>营运资本调整合计</x:v>
      </x:c>
      <x:c r="D9" s="17" t="n">
        <x:f>SUM(D33:D35)</x:f>
        <x:v>-257247376.20000002</x:v>
      </x:c>
      <x:c r="E9" s="17" t="n">
        <x:f>SUM(E33:E35)</x:f>
        <x:v>-164659704.53000003</x:v>
      </x:c>
      <x:c r="F9" s="17" t="n">
        <x:f>E9-D9</x:f>
        <x:v>92587671.66999999</x:v>
      </x:c>
      <x:c r="G9" s="3"/>
    </x:row>
    <x:row r="10" ht="23" customHeight="1">
      <x:c r="A10" s="1"/>
      <x:c r="B10" s="1"/>
      <x:c r="C10" s="26" t="str">
        <x:v>公式经营现金流</x:v>
      </x:c>
      <x:c r="D10" s="27" t="n">
        <x:f>SUM(D7:D9)</x:f>
        <x:v>702230569.8699999</x:v>
      </x:c>
      <x:c r="E10" s="27" t="n">
        <x:f>SUM(E7:E9)</x:f>
        <x:v>636484979.8199999</x:v>
      </x:c>
      <x:c r="F10" s="27" t="n">
        <x:f>E10-D10</x:f>
        <x:v>-65745590.04999995</x:v>
      </x:c>
      <x:c r="G10" s="3"/>
    </x:row>
    <x:row r="11" ht="23" customHeight="1">
      <x:c r="A11" s="1"/>
      <x:c r="B11" s="1"/>
      <x:c r="C11" s="3" t="str">
        <x:v>披露经营现金流</x:v>
      </x:c>
      <x:c r="D11" s="18" t="n">
        <x:f>Inputs!C23</x:f>
        <x:v>702230569.87</x:v>
      </x:c>
      <x:c r="E11" s="18" t="n">
        <x:f>Inputs!D23</x:f>
        <x:v>636484979.82</x:v>
      </x:c>
      <x:c r="F11" s="17" t="n">
        <x:f>E11-D11</x:f>
        <x:v>-65745590.04999995</x:v>
      </x:c>
      <x:c r="G11" s="3"/>
    </x:row>
    <x:row r="12" ht="23" customHeight="1">
      <x:c r="A12" s="1"/>
      <x:c r="B12" s="1"/>
      <x:c r="C12" s="3" t="str">
        <x:v>桥接差额</x:v>
      </x:c>
      <x:c r="D12" s="28" t="n">
        <x:f>D10-D11</x:f>
        <x:v>-1.1920928955078125e-7</x:v>
      </x:c>
      <x:c r="E12" s="28" t="n">
        <x:f>E10-E11</x:f>
        <x:v>-1.1920928955078125e-7</x:v>
      </x:c>
      <x:c r="F12" s="28" t="n">
        <x:f>E12-D12</x:f>
        <x:v>0</x:v>
      </x:c>
      <x:c r="G12" s="3"/>
    </x:row>
    <x:row r="13" ht="23" customHeight="1">
      <x:c r="A13" s="1"/>
      <x:c r="B13" s="1"/>
      <x:c r="C13" s="3"/>
      <x:c r="D13" s="4"/>
      <x:c r="E13" s="4"/>
      <x:c r="F13" s="4"/>
      <x:c r="G13" s="3"/>
    </x:row>
    <x:row r="14" ht="23" customHeight="1">
      <x:c r="A14" s="1"/>
      <x:c r="B14" s="1"/>
      <x:c r="C14" s="21" t="str">
        <x:v>经营现金流 / 合并净利润</x:v>
      </x:c>
      <x:c r="D14" s="22" t="n">
        <x:f>D10/D7</x:f>
        <x:v>1.3500413300294216</x:v>
      </x:c>
      <x:c r="E14" s="22" t="n">
        <x:f>E10/E7</x:f>
        <x:v>1.8159577828659375</x:v>
      </x:c>
      <x:c r="F14" s="22" t="n">
        <x:f>E14-D14</x:f>
        <x:v>0.46591645283651584</x:v>
      </x:c>
      <x:c r="G14" s="3"/>
    </x:row>
    <x:row r="15" ht="23" customHeight="1">
      <x:c r="A15" s="1"/>
      <x:c r="B15" s="1"/>
      <x:c r="C15" s="3" t="str">
        <x:v>经营现金流与净利润差额</x:v>
      </x:c>
      <x:c r="D15" s="17" t="n">
        <x:f>D10-D7</x:f>
        <x:v>182075701.82999986</x:v>
      </x:c>
      <x:c r="E15" s="17" t="n">
        <x:f>E10-E7</x:f>
        <x:v>285989508.04999995</x:v>
      </x:c>
      <x:c r="F15" s="17" t="n">
        <x:f>E15-D15</x:f>
        <x:v>103913806.22000009</x:v>
      </x:c>
      <x:c r="G15" s="3"/>
    </x:row>
    <x:row r="16" ht="23" customHeight="1">
      <x:c r="A16" s="1"/>
      <x:c r="B16" s="1"/>
      <x:c r="C16" s="3"/>
      <x:c r="D16" s="4"/>
      <x:c r="E16" s="4"/>
      <x:c r="F16" s="4"/>
      <x:c r="G16" s="3"/>
    </x:row>
    <x:row r="17" ht="23" customHeight="1">
      <x:c r="A17" s="1"/>
      <x:c r="B17" s="1"/>
      <x:c r="C17" s="3"/>
      <x:c r="D17" s="4"/>
      <x:c r="E17" s="4"/>
      <x:c r="F17" s="4"/>
      <x:c r="G17" s="3"/>
    </x:row>
    <x:row r="18" ht="23" customHeight="1">
      <x:c r="A18" s="1"/>
      <x:c r="B18" s="1"/>
      <x:c r="C18" s="3"/>
      <x:c r="D18" s="4"/>
      <x:c r="E18" s="4"/>
      <x:c r="F18" s="4"/>
      <x:c r="G18" s="3"/>
    </x:row>
    <x:row r="19" ht="27" customHeight="1">
      <x:c r="A19" s="1"/>
      <x:c r="B19" s="1"/>
      <x:c r="C19" s="15" t="str">
        <x:v>补充资料逐项桥接</x:v>
      </x:c>
      <x:c r="D19" s="16" t="str">
        <x:v>2024年度</x:v>
      </x:c>
      <x:c r="E19" s="16" t="str">
        <x:v>2025年度</x:v>
      </x:c>
      <x:c r="F19" s="16" t="str">
        <x:v>同比贡献</x:v>
      </x:c>
      <x:c r="G19" s="15" t="str">
        <x:v>分组</x:v>
      </x:c>
    </x:row>
    <x:row r="20" ht="23" customHeight="1">
      <x:c r="A20" s="1"/>
      <x:c r="B20" s="1"/>
      <x:c r="C20" s="3" t="str">
        <x:v>净利润</x:v>
      </x:c>
      <x:c r="D20" s="18" t="n">
        <x:f>Inputs!C6</x:f>
        <x:v>520154868.04</x:v>
      </x:c>
      <x:c r="E20" s="18" t="n">
        <x:f>Inputs!D6</x:f>
        <x:v>350495471.77</x:v>
      </x:c>
      <x:c r="F20" s="17" t="n">
        <x:f>E20-D20</x:f>
        <x:v>-169659396.27000004</x:v>
      </x:c>
      <x:c r="G20" s="3" t="str">
        <x:v>净利润</x:v>
      </x:c>
    </x:row>
    <x:row r="21" ht="23" customHeight="1">
      <x:c r="A21" s="1"/>
      <x:c r="B21" s="1"/>
      <x:c r="C21" s="3" t="str">
        <x:v>资产减值准备</x:v>
      </x:c>
      <x:c r="D21" s="18" t="n">
        <x:f>Inputs!C7</x:f>
        <x:v>131702070.69</x:v>
      </x:c>
      <x:c r="E21" s="18" t="n">
        <x:f>Inputs!D7</x:f>
        <x:v>129150437.47</x:v>
      </x:c>
      <x:c r="F21" s="17" t="n">
        <x:f>E21-D21</x:f>
        <x:v>-2551633.219999999</x:v>
      </x:c>
      <x:c r="G21" s="3" t="str">
        <x:v>非营运资本调整</x:v>
      </x:c>
    </x:row>
    <x:row r="22" ht="23" customHeight="1">
      <x:c r="A22" s="1"/>
      <x:c r="B22" s="1"/>
      <x:c r="C22" s="3" t="str">
        <x:v>固定资产折旧等</x:v>
      </x:c>
      <x:c r="D22" s="18" t="n">
        <x:f>Inputs!C8</x:f>
        <x:v>72162696.54</x:v>
      </x:c>
      <x:c r="E22" s="18" t="n">
        <x:f>Inputs!D8</x:f>
        <x:v>78252333.78</x:v>
      </x:c>
      <x:c r="F22" s="17" t="n">
        <x:f>E22-D22</x:f>
        <x:v>6089637.239999995</x:v>
      </x:c>
      <x:c r="G22" s="3" t="str">
        <x:v>非营运资本调整</x:v>
      </x:c>
    </x:row>
    <x:row r="23" ht="23" customHeight="1">
      <x:c r="A23" s="1"/>
      <x:c r="B23" s="1"/>
      <x:c r="C23" s="3" t="str">
        <x:v>使用权资产折旧</x:v>
      </x:c>
      <x:c r="D23" s="18" t="n">
        <x:f>Inputs!C9</x:f>
        <x:v>107043979.81</x:v>
      </x:c>
      <x:c r="E23" s="18" t="n">
        <x:f>Inputs!D9</x:f>
        <x:v>105712967.97</x:v>
      </x:c>
      <x:c r="F23" s="17" t="n">
        <x:f>E23-D23</x:f>
        <x:v>-1331011.8400000036</x:v>
      </x:c>
      <x:c r="G23" s="3" t="str">
        <x:v>非营运资本调整</x:v>
      </x:c>
    </x:row>
    <x:row r="24" ht="23" customHeight="1">
      <x:c r="A24" s="1"/>
      <x:c r="B24" s="1"/>
      <x:c r="C24" s="3" t="str">
        <x:v>无形资产摊销</x:v>
      </x:c>
      <x:c r="D24" s="18" t="n">
        <x:f>Inputs!C10</x:f>
        <x:v>17002427.47</x:v>
      </x:c>
      <x:c r="E24" s="18" t="n">
        <x:f>Inputs!D10</x:f>
        <x:v>45481218.89</x:v>
      </x:c>
      <x:c r="F24" s="17" t="n">
        <x:f>E24-D24</x:f>
        <x:v>28478791.42</x:v>
      </x:c>
      <x:c r="G24" s="3" t="str">
        <x:v>非营运资本调整</x:v>
      </x:c>
    </x:row>
    <x:row r="25" ht="23" customHeight="1">
      <x:c r="A25" s="1"/>
      <x:c r="B25" s="1"/>
      <x:c r="C25" s="3" t="str">
        <x:v>长期待摊费用摊销</x:v>
      </x:c>
      <x:c r="D25" s="18" t="n">
        <x:f>Inputs!C11</x:f>
        <x:v>79542654.39</x:v>
      </x:c>
      <x:c r="E25" s="18" t="n">
        <x:f>Inputs!D11</x:f>
        <x:v>98923213.05</x:v>
      </x:c>
      <x:c r="F25" s="17" t="n">
        <x:f>E25-D25</x:f>
        <x:v>19380558.659999996</x:v>
      </x:c>
      <x:c r="G25" s="3" t="str">
        <x:v>非营运资本调整</x:v>
      </x:c>
    </x:row>
    <x:row r="26" ht="23" customHeight="1">
      <x:c r="A26" s="1"/>
      <x:c r="B26" s="1"/>
      <x:c r="C26" s="3" t="str">
        <x:v>处置长期资产损失（收益负列）</x:v>
      </x:c>
      <x:c r="D26" s="18" t="n">
        <x:f>Inputs!C12</x:f>
        <x:v>13123778.75</x:v>
      </x:c>
      <x:c r="E26" s="18" t="n">
        <x:f>Inputs!D12</x:f>
        <x:v>-1424553.65</x:v>
      </x:c>
      <x:c r="F26" s="17" t="n">
        <x:f>E26-D26</x:f>
        <x:v>-14548332.4</x:v>
      </x:c>
      <x:c r="G26" s="3" t="str">
        <x:v>非营运资本调整</x:v>
      </x:c>
    </x:row>
    <x:row r="27" ht="23" customHeight="1">
      <x:c r="A27" s="1"/>
      <x:c r="B27" s="1"/>
      <x:c r="C27" s="3" t="str">
        <x:v>固定资产报废损失</x:v>
      </x:c>
      <x:c r="D27" s="18" t="n">
        <x:f>Inputs!C13</x:f>
        <x:v>450932.08</x:v>
      </x:c>
      <x:c r="E27" s="18" t="n">
        <x:f>Inputs!D13</x:f>
        <x:v>13839675.54</x:v>
      </x:c>
      <x:c r="F27" s="17" t="n">
        <x:f>E27-D27</x:f>
        <x:v>13388743.459999999</x:v>
      </x:c>
      <x:c r="G27" s="3" t="str">
        <x:v>非营运资本调整</x:v>
      </x:c>
    </x:row>
    <x:row r="28" ht="23" customHeight="1">
      <x:c r="A28" s="1"/>
      <x:c r="B28" s="1"/>
      <x:c r="C28" s="3" t="str">
        <x:v>公允价值变动损失</x:v>
      </x:c>
      <x:c r="D28" s="18" t="n">
        <x:f>Inputs!C14</x:f>
        <x:v>14400320.94</x:v>
      </x:c>
      <x:c r="E28" s="18" t="n">
        <x:f>Inputs!D14</x:f>
        <x:v>158635.19</x:v>
      </x:c>
      <x:c r="F28" s="17" t="n">
        <x:f>E28-D28</x:f>
        <x:v>-14241685.75</x:v>
      </x:c>
      <x:c r="G28" s="3" t="str">
        <x:v>非营运资本调整</x:v>
      </x:c>
    </x:row>
    <x:row r="29" ht="23" customHeight="1">
      <x:c r="A29" s="1"/>
      <x:c r="B29" s="1"/>
      <x:c r="C29" s="3" t="str">
        <x:v>财务费用（收益负列）</x:v>
      </x:c>
      <x:c r="D29" s="18" t="n">
        <x:f>Inputs!C15</x:f>
        <x:v>11105993.98</x:v>
      </x:c>
      <x:c r="E29" s="18" t="n">
        <x:f>Inputs!D15</x:f>
        <x:v>10297740.94</x:v>
      </x:c>
      <x:c r="F29" s="17" t="n">
        <x:f>E29-D29</x:f>
        <x:v>-808253.040000001</x:v>
      </x:c>
      <x:c r="G29" s="3" t="str">
        <x:v>非营运资本调整</x:v>
      </x:c>
    </x:row>
    <x:row r="30" ht="23" customHeight="1">
      <x:c r="A30" s="1"/>
      <x:c r="B30" s="1"/>
      <x:c r="C30" s="3" t="str">
        <x:v>投资损失（收益负列）</x:v>
      </x:c>
      <x:c r="D30" s="18" t="n">
        <x:f>Inputs!C16</x:f>
        <x:v>-10504657.47</x:v>
      </x:c>
      <x:c r="E30" s="18" t="n">
        <x:f>Inputs!D16</x:f>
        <x:v>-17509099.67</x:v>
      </x:c>
      <x:c r="F30" s="17" t="n">
        <x:f>E30-D30</x:f>
        <x:v>-7004442.200000001</x:v>
      </x:c>
      <x:c r="G30" s="3" t="str">
        <x:v>非营运资本调整</x:v>
      </x:c>
    </x:row>
    <x:row r="31" ht="23" customHeight="1">
      <x:c r="A31" s="1"/>
      <x:c r="B31" s="1"/>
      <x:c r="C31" s="3" t="str">
        <x:v>递延所得税资产减少</x:v>
      </x:c>
      <x:c r="D31" s="18" t="n">
        <x:f>Inputs!C17</x:f>
        <x:v>4532000.79</x:v>
      </x:c>
      <x:c r="E31" s="18" t="n">
        <x:f>Inputs!D17</x:f>
        <x:v>-12574202.23</x:v>
      </x:c>
      <x:c r="F31" s="17" t="n">
        <x:f>E31-D31</x:f>
        <x:v>-17106203.02</x:v>
      </x:c>
      <x:c r="G31" s="3" t="str">
        <x:v>非营运资本调整</x:v>
      </x:c>
    </x:row>
    <x:row r="32" ht="23" customHeight="1">
      <x:c r="A32" s="1"/>
      <x:c r="B32" s="1"/>
      <x:c r="C32" s="3" t="str">
        <x:v>递延所得税负债增加</x:v>
      </x:c>
      <x:c r="D32" s="18" t="n">
        <x:f>Inputs!C18</x:f>
        <x:v>-1763159.1</x:v>
      </x:c>
      <x:c r="E32" s="18" t="n">
        <x:f>Inputs!D18</x:f>
        <x:v>-183193.86</x:v>
      </x:c>
      <x:c r="F32" s="17" t="n">
        <x:f>E32-D32</x:f>
        <x:v>1579965.2400000002</x:v>
      </x:c>
      <x:c r="G32" s="3" t="str">
        <x:v>非营运资本调整</x:v>
      </x:c>
    </x:row>
    <x:row r="33" ht="23" customHeight="1">
      <x:c r="A33" s="1"/>
      <x:c r="B33" s="1"/>
      <x:c r="C33" s="3" t="str">
        <x:v>存货的减少</x:v>
      </x:c>
      <x:c r="D33" s="18" t="n">
        <x:f>Inputs!C19</x:f>
        <x:v>-148190301.59</x:v>
      </x:c>
      <x:c r="E33" s="18" t="n">
        <x:f>Inputs!D19</x:f>
        <x:v>-166428589.3</x:v>
      </x:c>
      <x:c r="F33" s="17" t="n">
        <x:f>E33-D33</x:f>
        <x:v>-18238287.71000001</x:v>
      </x:c>
      <x:c r="G33" s="3" t="str">
        <x:v>营运资本调整</x:v>
      </x:c>
    </x:row>
    <x:row r="34" ht="23" customHeight="1">
      <x:c r="A34" s="1"/>
      <x:c r="B34" s="1"/>
      <x:c r="C34" s="3" t="str">
        <x:v>经营性应收项目的减少</x:v>
      </x:c>
      <x:c r="D34" s="18" t="n">
        <x:f>Inputs!C20</x:f>
        <x:v>-290252934.4</x:v>
      </x:c>
      <x:c r="E34" s="18" t="n">
        <x:f>Inputs!D20</x:f>
        <x:v>17438639.45</x:v>
      </x:c>
      <x:c r="F34" s="17" t="n">
        <x:f>E34-D34</x:f>
        <x:v>307691573.84999996</x:v>
      </x:c>
      <x:c r="G34" s="3" t="str">
        <x:v>营运资本调整</x:v>
      </x:c>
    </x:row>
    <x:row r="35" ht="23" customHeight="1">
      <x:c r="A35" s="1"/>
      <x:c r="B35" s="1"/>
      <x:c r="C35" s="3" t="str">
        <x:v>经营性应付项目的增加</x:v>
      </x:c>
      <x:c r="D35" s="18" t="n">
        <x:f>Inputs!C21</x:f>
        <x:v>181195859.79</x:v>
      </x:c>
      <x:c r="E35" s="18" t="n">
        <x:f>Inputs!D21</x:f>
        <x:v>-15669754.68</x:v>
      </x:c>
      <x:c r="F35" s="17" t="n">
        <x:f>E35-D35</x:f>
        <x:v>-196865614.47</x:v>
      </x:c>
      <x:c r="G35" s="3" t="str">
        <x:v>营运资本调整</x:v>
      </x:c>
    </x:row>
    <x:row r="36" ht="23" customHeight="1">
      <x:c r="A36" s="1"/>
      <x:c r="B36" s="1"/>
      <x:c r="C36" s="3" t="str">
        <x:v>其他</x:v>
      </x:c>
      <x:c r="D36" s="18" t="n">
        <x:f>Inputs!C22</x:f>
        <x:v>524039.16</x:v>
      </x:c>
      <x:c r="E36" s="18" t="n">
        <x:f>Inputs!D22</x:f>
        <x:v>524039.16</x:v>
      </x:c>
      <x:c r="F36" s="17" t="n">
        <x:f>E36-D36</x:f>
        <x:v>0</x:v>
      </x:c>
      <x:c r="G36" s="3" t="str">
        <x:v>非营运资本调整</x:v>
      </x:c>
    </x:row>
    <x:row r="37" ht="23" customHeight="1">
      <x:c r="A37" s="1"/>
      <x:c r="B37" s="1"/>
      <x:c r="C37" s="3"/>
      <x:c r="D37" s="4"/>
      <x:c r="E37" s="4"/>
      <x:c r="F37" s="4"/>
      <x:c r="G37" s="3"/>
    </x:row>
    <x:row r="38" ht="23" customHeight="1">
      <x:c r="A38" s="1"/>
      <x:c r="B38" s="1"/>
      <x:c r="C38" s="26" t="str">
        <x:v>同比贡献合计</x:v>
      </x:c>
      <x:c r="D38" s="27"/>
      <x:c r="E38" s="27"/>
      <x:c r="F38" s="27" t="n">
        <x:f>SUM(F20:F36)</x:f>
        <x:v>-65745590.05000013</x:v>
      </x:c>
      <x:c r="G38" s="3"/>
    </x:row>
    <x:row r="39" ht="23" customHeight="1">
      <x:c r="A39" s="1"/>
      <x:c r="B39" s="1"/>
      <x:c r="C39" s="3"/>
      <x:c r="D39" s="4"/>
      <x:c r="E39" s="4"/>
      <x:c r="F39" s="4"/>
      <x:c r="G39" s="3"/>
    </x:row>
    <x:row r="40" ht="27" customHeight="1">
      <x:c r="A40" s="1"/>
      <x:c r="B40" s="1"/>
      <x:c r="C40" s="15" t="str">
        <x:v>独立控制检查</x:v>
      </x:c>
      <x:c r="D40" s="16" t="str">
        <x:v>2024年度</x:v>
      </x:c>
      <x:c r="E40" s="16" t="str">
        <x:v>2025年度</x:v>
      </x:c>
      <x:c r="F40" s="16" t="str">
        <x:v>年度变化控制</x:v>
      </x:c>
      <x:c r="G40" s="15" t="str"/>
    </x:row>
    <x:row r="41" ht="23" customHeight="1">
      <x:c r="A41" s="1"/>
      <x:c r="B41" s="1"/>
      <x:c r="C41" s="3" t="str">
        <x:v>主表净利润减补充资料起点</x:v>
      </x:c>
      <x:c r="D41" s="28" t="n">
        <x:f>Inputs!C24-D20</x:f>
        <x:v>0</x:v>
      </x:c>
      <x:c r="E41" s="28" t="n">
        <x:f>Inputs!D24-E20</x:f>
        <x:v>0</x:v>
      </x:c>
      <x:c r="F41" s="29"/>
      <x:c r="G41" s="3"/>
    </x:row>
    <x:row r="42" ht="23" customHeight="1">
      <x:c r="A42" s="1"/>
      <x:c r="B42" s="1"/>
      <x:c r="C42" s="3" t="str">
        <x:v>归母加少数损益减主表净利润</x:v>
      </x:c>
      <x:c r="D42" s="28" t="n">
        <x:f>Inputs!C25+Inputs!C26-Inputs!C24</x:f>
        <x:v>-5.960464477539063e-8</x:v>
      </x:c>
      <x:c r="E42" s="28" t="n">
        <x:f>Inputs!D25+Inputs!D26-Inputs!D24</x:f>
        <x:v>5.960464477539063e-8</x:v>
      </x:c>
      <x:c r="F42" s="29"/>
      <x:c r="G42" s="3"/>
    </x:row>
    <x:row r="43" ht="23" customHeight="1">
      <x:c r="A43" s="1"/>
      <x:c r="B43" s="1"/>
      <x:c r="C43" s="3" t="str">
        <x:v>主表流入减流出减披露CFO</x:v>
      </x:c>
      <x:c r="D43" s="28" t="n">
        <x:f>Inputs!C27-Inputs!C28-D11</x:f>
        <x:v>-1.1920928955078125e-7</x:v>
      </x:c>
      <x:c r="E43" s="28" t="n">
        <x:f>Inputs!D27-Inputs!D28-E11</x:f>
        <x:v>-3.5762786865234375e-7</x:v>
      </x:c>
      <x:c r="F43" s="29"/>
      <x:c r="G43" s="3"/>
    </x:row>
    <x:row r="44" ht="23" customHeight="1">
      <x:c r="A44" s="1"/>
      <x:c r="B44" s="1"/>
      <x:c r="C44" s="3" t="str">
        <x:v>逐项同比贡献减主表CFO变化</x:v>
      </x:c>
      <x:c r="D44" s="29"/>
      <x:c r="E44" s="29"/>
      <x:c r="F44" s="28" t="n">
        <x:f>F38-F11</x:f>
        <x:v>-1.7881393432617188e-7</x:v>
      </x:c>
      <x:c r="G44" s="3"/>
    </x:row>
    <x:row r="45" ht="23" customHeight="1">
      <x:c r="A45" s="1"/>
      <x:c r="B45" s="1"/>
      <x:c r="C45" s="3"/>
      <x:c r="D45" s="4"/>
      <x:c r="E45" s="4"/>
      <x:c r="F45" s="4"/>
      <x:c r="G45" s="3"/>
    </x:row>
    <x:row r="46" ht="23" customHeight="1">
      <x:c r="A46" s="1"/>
      <x:c r="B46" s="1"/>
      <x:c r="C46" s="3" t="str">
        <x:v>前三项绝对贡献：经营性应收、经营性应付、净利润</x:v>
      </x:c>
      <x:c r="D46" s="4"/>
      <x:c r="E46" s="4"/>
      <x:c r="F46" s="4"/>
      <x:c r="G46" s="3"/>
    </x:row>
    <x:row r="47" ht="23" customHeight="1">
      <x:c r="A47" s="1"/>
      <x:c r="B47" s="1"/>
      <x:c r="C47" s="3" t="str">
        <x:v>分组定义：非WC含税、投资、财务、其他及非付现调整。</x:v>
      </x:c>
      <x:c r="D47" s="4"/>
      <x:c r="E47" s="4"/>
      <x:c r="F47" s="4"/>
      <x:c r="G47" s="3"/>
    </x:row>
  </x:sheetData>
  <x:conditionalFormatting sqref="D12:F12">
    <x:cfRule type="expression" dxfId="0" priority="1">
      <x:formula>ABS(D12)&gt;0.02</x:formula>
    </x:cfRule>
  </x:conditionalFormatting>
  <x:conditionalFormatting sqref="D41:F41">
    <x:cfRule type="expression" dxfId="1" priority="2">
      <x:formula>ABS(D41)&gt;0.02</x:formula>
    </x:cfRule>
  </x:conditionalFormatting>
  <x:conditionalFormatting sqref="D42:F42">
    <x:cfRule type="expression" dxfId="2" priority="3">
      <x:formula>ABS(D42)&gt;0.02</x:formula>
    </x:cfRule>
  </x:conditionalFormatting>
  <x:conditionalFormatting sqref="D43:F43">
    <x:cfRule type="expression" dxfId="3" priority="4">
      <x:formula>ABS(D43)&gt;0.02</x:formula>
    </x:cfRule>
  </x:conditionalFormatting>
  <x:conditionalFormatting sqref="D44:F44">
    <x:cfRule type="expression" dxfId="4" priority="5">
      <x:formula>ABS(D44)&gt;0.02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3" hidden="0" customWidth="1"/>
  </x:cols>
  <x:sheetData>
    <x:row r="1" ht="23" customHeight="1">
      <x:c r="A1" s="1"/>
      <x:c r="B1" s="1"/>
      <x:c r="C1" s="3"/>
      <x:c r="D1" s="4"/>
      <x:c r="E1" s="4"/>
      <x:c r="F1" s="4"/>
      <x:c r="G1" s="3"/>
    </x:row>
    <x:row r="2" ht="23" customHeight="1">
      <x:c r="A2" s="1"/>
      <x:c r="B2" s="1"/>
      <x:c r="C2" s="6" t="str">
        <x:v>营运资本余额与现金流调整复核</x:v>
      </x:c>
      <x:c r="D2" s="7"/>
      <x:c r="E2" s="7"/>
      <x:c r="F2" s="7"/>
      <x:c r="G2" s="8"/>
    </x:row>
    <x:row r="3" ht="23" customHeight="1">
      <x:c r="A3" s="1"/>
      <x:c r="B3" s="1"/>
      <x:c r="C3" s="3"/>
      <x:c r="D3" s="4"/>
      <x:c r="E3" s="4"/>
      <x:c r="F3" s="4"/>
      <x:c r="G3" s="3"/>
    </x:row>
    <x:row r="4" ht="23" customHeight="1">
      <x:c r="A4" s="1"/>
      <x:c r="B4" s="1"/>
      <x:c r="C4" s="9" t="str">
        <x:v>合并口径，人民币元；负值按原披露保留</x:v>
      </x:c>
      <x:c r="D4" s="10"/>
      <x:c r="E4" s="10"/>
      <x:c r="F4" s="10"/>
      <x:c r="G4" s="9"/>
    </x:row>
    <x:row r="5" ht="23" customHeight="1">
      <x:c r="A5" s="1"/>
      <x:c r="B5" s="1"/>
      <x:c r="C5" s="3"/>
      <x:c r="D5" s="4"/>
      <x:c r="E5" s="4"/>
      <x:c r="F5" s="4"/>
      <x:c r="G5" s="3"/>
    </x:row>
    <x:row r="6" ht="27" customHeight="1">
      <x:c r="A6" s="1"/>
      <x:c r="B6" s="1"/>
      <x:c r="C6" s="15" t="str">
        <x:v>存货</x:v>
      </x:c>
      <x:c r="D6" s="16" t="str">
        <x:v>2024-12-31</x:v>
      </x:c>
      <x:c r="E6" s="16" t="str">
        <x:v>2025-12-31</x:v>
      </x:c>
      <x:c r="F6" s="16" t="str">
        <x:v>期末减期初</x:v>
      </x:c>
      <x:c r="G6" s="15" t="str"/>
    </x:row>
    <x:row r="7" ht="23" customHeight="1">
      <x:c r="A7" s="1"/>
      <x:c r="B7" s="1"/>
      <x:c r="C7" s="3" t="str">
        <x:v>账面余额</x:v>
      </x:c>
      <x:c r="D7" s="18" t="n">
        <x:f>Inputs!C29</x:f>
        <x:v>1334685879.29</x:v>
      </x:c>
      <x:c r="E7" s="18" t="n">
        <x:f>Inputs!D29</x:f>
        <x:v>1435277949.76</x:v>
      </x:c>
      <x:c r="F7" s="17" t="n">
        <x:f>E7-D7</x:f>
        <x:v>100592070.47000003</x:v>
      </x:c>
      <x:c r="G7" s="3"/>
    </x:row>
    <x:row r="8" ht="23" customHeight="1">
      <x:c r="A8" s="1"/>
      <x:c r="B8" s="1"/>
      <x:c r="C8" s="3" t="str">
        <x:v>跌价准备</x:v>
      </x:c>
      <x:c r="D8" s="18" t="n">
        <x:f>Inputs!C30</x:f>
        <x:v>129891177.58</x:v>
      </x:c>
      <x:c r="E8" s="18" t="n">
        <x:f>Inputs!D30</x:f>
        <x:v>158901675.52</x:v>
      </x:c>
      <x:c r="F8" s="17" t="n">
        <x:f>E8-D8</x:f>
        <x:v>29010497.940000013</x:v>
      </x:c>
      <x:c r="G8" s="3"/>
    </x:row>
    <x:row r="9" ht="23" customHeight="1">
      <x:c r="A9" s="1"/>
      <x:c r="B9" s="1"/>
      <x:c r="C9" s="3" t="str">
        <x:v>毛额减准备：计算净额</x:v>
      </x:c>
      <x:c r="D9" s="17" t="n">
        <x:f>D7-D8</x:f>
        <x:v>1204794701.71</x:v>
      </x:c>
      <x:c r="E9" s="17" t="n">
        <x:f>E7-E8</x:f>
        <x:v>1276376274.24</x:v>
      </x:c>
      <x:c r="F9" s="17" t="n">
        <x:f>E9-D9</x:f>
        <x:v>71581572.52999997</x:v>
      </x:c>
      <x:c r="G9" s="3"/>
    </x:row>
    <x:row r="10" ht="23" customHeight="1">
      <x:c r="A10" s="1"/>
      <x:c r="B10" s="1"/>
      <x:c r="C10" s="3" t="str">
        <x:v>披露账面价值</x:v>
      </x:c>
      <x:c r="D10" s="18" t="n">
        <x:f>Inputs!C31</x:f>
        <x:v>1204794701.71</x:v>
      </x:c>
      <x:c r="E10" s="18" t="n">
        <x:f>Inputs!D31</x:f>
        <x:v>1276376274.24</x:v>
      </x:c>
      <x:c r="F10" s="17" t="n">
        <x:f>E10-D10</x:f>
        <x:v>71581572.52999997</x:v>
      </x:c>
      <x:c r="G10" s="3"/>
    </x:row>
    <x:row r="11" ht="23" customHeight="1">
      <x:c r="A11" s="1"/>
      <x:c r="B11" s="1"/>
      <x:c r="C11" s="3" t="str">
        <x:v>计算净额减披露净额</x:v>
      </x:c>
      <x:c r="D11" s="28" t="n">
        <x:f>D9-D10</x:f>
        <x:v>0</x:v>
      </x:c>
      <x:c r="E11" s="28" t="n">
        <x:f>E9-E10</x:f>
        <x:v>0</x:v>
      </x:c>
      <x:c r="F11" s="29"/>
      <x:c r="G11" s="3"/>
    </x:row>
    <x:row r="12" ht="23" customHeight="1">
      <x:c r="A12" s="1"/>
      <x:c r="B12" s="1"/>
      <x:c r="C12" s="3"/>
      <x:c r="D12" s="4"/>
      <x:c r="E12" s="4"/>
      <x:c r="F12" s="4"/>
      <x:c r="G12" s="3"/>
    </x:row>
    <x:row r="13" ht="23" customHeight="1">
      <x:c r="A13" s="1"/>
      <x:c r="B13" s="1"/>
      <x:c r="C13" s="3"/>
      <x:c r="D13" s="4"/>
      <x:c r="E13" s="4"/>
      <x:c r="F13" s="4"/>
      <x:c r="G13" s="3"/>
    </x:row>
    <x:row r="14" ht="23" customHeight="1">
      <x:c r="A14" s="1"/>
      <x:c r="B14" s="1"/>
      <x:c r="C14" s="3" t="str">
        <x:v>2025计提</x:v>
      </x:c>
      <x:c r="D14" s="4"/>
      <x:c r="E14" s="18" t="n">
        <x:f>Inputs!D32</x:f>
        <x:v>94847016.77</x:v>
      </x:c>
      <x:c r="F14" s="4"/>
      <x:c r="G14" s="3"/>
    </x:row>
    <x:row r="15" ht="23" customHeight="1">
      <x:c r="A15" s="1"/>
      <x:c r="B15" s="1"/>
      <x:c r="C15" s="3" t="str">
        <x:v>2025转回或转销</x:v>
      </x:c>
      <x:c r="D15" s="4"/>
      <x:c r="E15" s="18" t="n">
        <x:f>Inputs!D33</x:f>
        <x:v>65836518.83</x:v>
      </x:c>
      <x:c r="F15" s="4"/>
      <x:c r="G15" s="3"/>
    </x:row>
    <x:row r="16" ht="23" customHeight="1">
      <x:c r="A16" s="1"/>
      <x:c r="B16" s="1"/>
      <x:c r="C16" s="3" t="str">
        <x:v>期初准备加计提减转回或转销</x:v>
      </x:c>
      <x:c r="D16" s="4"/>
      <x:c r="E16" s="17" t="n">
        <x:f>D8+E14-E15</x:f>
        <x:v>158901675.51999998</x:v>
      </x:c>
      <x:c r="F16" s="4"/>
      <x:c r="G16" s="3"/>
    </x:row>
    <x:row r="17" ht="23" customHeight="1">
      <x:c r="A17" s="1"/>
      <x:c r="B17" s="1"/>
      <x:c r="C17" s="3" t="str">
        <x:v>准备滚动差额</x:v>
      </x:c>
      <x:c r="D17" s="29"/>
      <x:c r="E17" s="28" t="n">
        <x:f>E16-E8</x:f>
        <x:v>-2.9802322387695312e-8</x:v>
      </x:c>
      <x:c r="F17" s="29"/>
      <x:c r="G17" s="3"/>
    </x:row>
    <x:row r="18" ht="23" customHeight="1">
      <x:c r="A18" s="1"/>
      <x:c r="B18" s="1"/>
      <x:c r="C18" s="3"/>
      <x:c r="D18" s="4"/>
      <x:c r="E18" s="4"/>
      <x:c r="F18" s="4"/>
      <x:c r="G18" s="3"/>
    </x:row>
    <x:row r="19" ht="23" customHeight="1">
      <x:c r="A19" s="1"/>
      <x:c r="B19" s="1"/>
      <x:c r="C19" s="3"/>
      <x:c r="D19" s="4"/>
      <x:c r="E19" s="4"/>
      <x:c r="F19" s="4"/>
      <x:c r="G19" s="3"/>
    </x:row>
    <x:row r="20" ht="23" customHeight="1">
      <x:c r="A20" s="1"/>
      <x:c r="B20" s="1"/>
      <x:c r="C20" s="3" t="str">
        <x:v>净额期初减期末：简单余额法</x:v>
      </x:c>
      <x:c r="D20" s="4"/>
      <x:c r="E20" s="17" t="n">
        <x:f>D10-E10</x:f>
        <x:v>-71581572.52999997</x:v>
      </x:c>
      <x:c r="F20" s="4"/>
      <x:c r="G20" s="3"/>
    </x:row>
    <x:row r="21" ht="23" customHeight="1">
      <x:c r="A21" s="1"/>
      <x:c r="B21" s="1"/>
      <x:c r="C21" s="3" t="str">
        <x:v>披露存货现金流调整</x:v>
      </x:c>
      <x:c r="D21" s="4"/>
      <x:c r="E21" s="18" t="n">
        <x:f>Inputs!D19</x:f>
        <x:v>-166428589.3</x:v>
      </x:c>
      <x:c r="F21" s="4"/>
      <x:c r="G21" s="3"/>
    </x:row>
    <x:row r="22" ht="23" customHeight="1">
      <x:c r="A22" s="1"/>
      <x:c r="B22" s="1"/>
      <x:c r="C22" s="3" t="str">
        <x:v>披露调整减简单净额余额法</x:v>
      </x:c>
      <x:c r="D22" s="4"/>
      <x:c r="E22" s="17" t="n">
        <x:f>E21-E20</x:f>
        <x:v>-94847016.77000004</x:v>
      </x:c>
      <x:c r="F22" s="4"/>
      <x:c r="G22" s="3"/>
    </x:row>
    <x:row r="23" ht="23" customHeight="1">
      <x:c r="A23" s="1"/>
      <x:c r="B23" s="1"/>
      <x:c r="C23" s="3" t="str">
        <x:v>净额期初减期末再减本期计提</x:v>
      </x:c>
      <x:c r="D23" s="4"/>
      <x:c r="E23" s="17" t="n">
        <x:f>E20-E14</x:f>
        <x:v>-166428589.29999995</x:v>
      </x:c>
      <x:c r="F23" s="4"/>
      <x:c r="G23" s="3"/>
    </x:row>
    <x:row r="24" ht="23" customHeight="1">
      <x:c r="A24" s="1"/>
      <x:c r="B24" s="1"/>
      <x:c r="C24" s="3" t="str">
        <x:v>净额准备桥减披露调整</x:v>
      </x:c>
      <x:c r="D24" s="29"/>
      <x:c r="E24" s="28" t="n">
        <x:f>E23-E21</x:f>
        <x:v>5.960464477539063e-8</x:v>
      </x:c>
      <x:c r="F24" s="29"/>
      <x:c r="G24" s="3"/>
    </x:row>
    <x:row r="25" ht="23" customHeight="1">
      <x:c r="A25" s="1"/>
      <x:c r="B25" s="1"/>
      <x:c r="C25" s="3" t="str">
        <x:v>毛额期初减期末：简单余额法</x:v>
      </x:c>
      <x:c r="D25" s="4"/>
      <x:c r="E25" s="17" t="n">
        <x:f>D7-E7</x:f>
        <x:v>-100592070.47000003</x:v>
      </x:c>
      <x:c r="F25" s="4"/>
      <x:c r="G25" s="3"/>
    </x:row>
    <x:row r="26" ht="23" customHeight="1">
      <x:c r="A26" s="1"/>
      <x:c r="B26" s="1"/>
      <x:c r="C26" s="3" t="str">
        <x:v>披露调整减简单毛额余额法</x:v>
      </x:c>
      <x:c r="D26" s="4"/>
      <x:c r="E26" s="17" t="n">
        <x:f>E21-E25</x:f>
        <x:v>-65836518.82999998</x:v>
      </x:c>
      <x:c r="F26" s="4"/>
      <x:c r="G26" s="3"/>
    </x:row>
    <x:row r="27" ht="23" customHeight="1">
      <x:c r="A27" s="1"/>
      <x:c r="B27" s="1"/>
      <x:c r="C27" s="3" t="str">
        <x:v>毛额期初减期末再减转回或转销</x:v>
      </x:c>
      <x:c r="D27" s="4"/>
      <x:c r="E27" s="17" t="n">
        <x:f>E25-E15</x:f>
        <x:v>-166428589.3</x:v>
      </x:c>
      <x:c r="F27" s="4"/>
      <x:c r="G27" s="3"/>
    </x:row>
    <x:row r="28" ht="23" customHeight="1">
      <x:c r="A28" s="1"/>
      <x:c r="B28" s="1"/>
      <x:c r="C28" s="3" t="str">
        <x:v>毛额准备桥减披露调整</x:v>
      </x:c>
      <x:c r="D28" s="29"/>
      <x:c r="E28" s="28" t="n">
        <x:f>E27-E21</x:f>
        <x:v>0</x:v>
      </x:c>
      <x:c r="F28" s="29"/>
      <x:c r="G28" s="3"/>
    </x:row>
    <x:row r="29" ht="23" customHeight="1">
      <x:c r="A29" s="1"/>
      <x:c r="B29" s="1"/>
      <x:c r="C29" s="3"/>
      <x:c r="D29" s="4"/>
      <x:c r="E29" s="4"/>
      <x:c r="F29" s="4"/>
      <x:c r="G29" s="3"/>
    </x:row>
    <x:row r="30" ht="27" customHeight="1">
      <x:c r="A30" s="1"/>
      <x:c r="B30" s="1"/>
      <x:c r="C30" s="15" t="str">
        <x:v>应收账款及经营性应收</x:v>
      </x:c>
      <x:c r="D30" s="16" t="str">
        <x:v>2024-12-31</x:v>
      </x:c>
      <x:c r="E30" s="16" t="str">
        <x:v>2025-12-31</x:v>
      </x:c>
      <x:c r="F30" s="16" t="str">
        <x:v>期末减期初</x:v>
      </x:c>
      <x:c r="G30" s="15" t="str"/>
    </x:row>
    <x:row r="31" ht="23" customHeight="1">
      <x:c r="A31" s="1"/>
      <x:c r="B31" s="1"/>
      <x:c r="C31" s="3" t="str">
        <x:v>账面余额</x:v>
      </x:c>
      <x:c r="D31" s="18" t="n">
        <x:f>Inputs!C34</x:f>
        <x:v>781369444.56</x:v>
      </x:c>
      <x:c r="E31" s="18" t="n">
        <x:f>Inputs!D34</x:f>
        <x:v>717784195.73</x:v>
      </x:c>
      <x:c r="F31" s="17" t="n">
        <x:f>E31-D31</x:f>
        <x:v>-63585248.82999992</x:v>
      </x:c>
      <x:c r="G31" s="3"/>
    </x:row>
    <x:row r="32" ht="23" customHeight="1">
      <x:c r="A32" s="1"/>
      <x:c r="B32" s="1"/>
      <x:c r="C32" s="3" t="str">
        <x:v>坏账准备</x:v>
      </x:c>
      <x:c r="D32" s="18" t="n">
        <x:f>Inputs!C35</x:f>
        <x:v>88538659.21</x:v>
      </x:c>
      <x:c r="E32" s="18" t="n">
        <x:f>Inputs!D35</x:f>
        <x:v>75506628.53</x:v>
      </x:c>
      <x:c r="F32" s="17" t="n">
        <x:f>E32-D32</x:f>
        <x:v>-13032030.679999992</x:v>
      </x:c>
      <x:c r="G32" s="3"/>
    </x:row>
    <x:row r="33" ht="23" customHeight="1">
      <x:c r="A33" s="1"/>
      <x:c r="B33" s="1"/>
      <x:c r="C33" s="3" t="str">
        <x:v>毛额减准备：计算净额</x:v>
      </x:c>
      <x:c r="D33" s="17" t="n">
        <x:f>D31-D32</x:f>
        <x:v>692830785.3499999</x:v>
      </x:c>
      <x:c r="E33" s="17" t="n">
        <x:f>E31-E32</x:f>
        <x:v>642277567.2</x:v>
      </x:c>
      <x:c r="F33" s="17" t="n">
        <x:f>E33-D33</x:f>
        <x:v>-50553218.14999986</x:v>
      </x:c>
      <x:c r="G33" s="3"/>
    </x:row>
    <x:row r="34" ht="23" customHeight="1">
      <x:c r="A34" s="1"/>
      <x:c r="B34" s="1"/>
      <x:c r="C34" s="3" t="str">
        <x:v>披露账面价值</x:v>
      </x:c>
      <x:c r="D34" s="18" t="n">
        <x:f>Inputs!C36</x:f>
        <x:v>692830785.35</x:v>
      </x:c>
      <x:c r="E34" s="18" t="n">
        <x:f>Inputs!D36</x:f>
        <x:v>642277567.2</x:v>
      </x:c>
      <x:c r="F34" s="17" t="n">
        <x:f>E34-D34</x:f>
        <x:v>-50553218.149999976</x:v>
      </x:c>
      <x:c r="G34" s="3"/>
    </x:row>
    <x:row r="35" ht="23" customHeight="1">
      <x:c r="A35" s="1"/>
      <x:c r="B35" s="1"/>
      <x:c r="C35" s="3" t="str">
        <x:v>计算净额减披露净额</x:v>
      </x:c>
      <x:c r="D35" s="28" t="n">
        <x:f>D33-D34</x:f>
        <x:v>-1.1920928955078125e-7</x:v>
      </x:c>
      <x:c r="E35" s="28" t="n">
        <x:f>E33-E34</x:f>
        <x:v>0</x:v>
      </x:c>
      <x:c r="F35" s="29"/>
      <x:c r="G35" s="3"/>
    </x:row>
    <x:row r="36" ht="23" customHeight="1">
      <x:c r="A36" s="1"/>
      <x:c r="B36" s="1"/>
      <x:c r="C36" s="3"/>
      <x:c r="D36" s="4"/>
      <x:c r="E36" s="4"/>
      <x:c r="F36" s="4"/>
      <x:c r="G36" s="3"/>
    </x:row>
    <x:row r="37" ht="23" customHeight="1">
      <x:c r="A37" s="1"/>
      <x:c r="B37" s="1"/>
      <x:c r="C37" s="3" t="str">
        <x:v>应收净额期初减期末</x:v>
      </x:c>
      <x:c r="D37" s="4"/>
      <x:c r="E37" s="17" t="n">
        <x:f>D34-E34</x:f>
        <x:v>50553218.149999976</x:v>
      </x:c>
      <x:c r="F37" s="4"/>
      <x:c r="G37" s="3"/>
    </x:row>
    <x:row r="38" ht="23" customHeight="1">
      <x:c r="A38" s="1"/>
      <x:c r="B38" s="1"/>
      <x:c r="C38" s="3" t="str">
        <x:v>披露经营性应收现金流调整</x:v>
      </x:c>
      <x:c r="D38" s="4"/>
      <x:c r="E38" s="18" t="n">
        <x:f>Inputs!D20</x:f>
        <x:v>17438639.45</x:v>
      </x:c>
      <x:c r="F38" s="4"/>
      <x:c r="G38" s="3"/>
    </x:row>
    <x:row r="39" ht="23" customHeight="1">
      <x:c r="A39" s="1"/>
      <x:c r="B39" s="1"/>
      <x:c r="C39" s="3" t="str">
        <x:v>披露调整减单一应收净额余额法</x:v>
      </x:c>
      <x:c r="D39" s="4"/>
      <x:c r="E39" s="17" t="n">
        <x:f>E38-E37</x:f>
        <x:v>-33114578.699999977</x:v>
      </x:c>
      <x:c r="F39" s="4"/>
      <x:c r="G39" s="3"/>
    </x:row>
    <x:row r="40" ht="23" customHeight="1">
      <x:c r="A40" s="1"/>
      <x:c r="B40" s="1"/>
      <x:c r="C40" s="3"/>
      <x:c r="D40" s="4"/>
      <x:c r="E40" s="4"/>
      <x:c r="F40" s="4"/>
      <x:c r="G40" s="3"/>
    </x:row>
    <x:row r="41" ht="27" customHeight="1">
      <x:c r="A41" s="1"/>
      <x:c r="B41" s="1"/>
      <x:c r="C41" s="15" t="str">
        <x:v>应付账款及经营性应付</x:v>
      </x:c>
      <x:c r="D41" s="16" t="str">
        <x:v>2024-12-31</x:v>
      </x:c>
      <x:c r="E41" s="16" t="str">
        <x:v>2025-12-31</x:v>
      </x:c>
      <x:c r="F41" s="16" t="str">
        <x:v>期末减期初</x:v>
      </x:c>
      <x:c r="G41" s="15" t="str"/>
    </x:row>
    <x:row r="42" ht="23" customHeight="1">
      <x:c r="A42" s="1"/>
      <x:c r="B42" s="1"/>
      <x:c r="C42" s="3" t="str">
        <x:v>应付账款余额</x:v>
      </x:c>
      <x:c r="D42" s="18" t="n">
        <x:f>Inputs!C37</x:f>
        <x:v>460218384.9</x:v>
      </x:c>
      <x:c r="E42" s="18" t="n">
        <x:f>Inputs!D37</x:f>
        <x:v>492048234.56</x:v>
      </x:c>
      <x:c r="F42" s="17" t="n">
        <x:f>E42-D42</x:f>
        <x:v>31829849.660000026</x:v>
      </x:c>
      <x:c r="G42" s="3"/>
    </x:row>
    <x:row r="43" ht="23" customHeight="1">
      <x:c r="A43" s="1"/>
      <x:c r="B43" s="1"/>
      <x:c r="C43" s="3" t="str">
        <x:v>应付账款期末减期初</x:v>
      </x:c>
      <x:c r="D43" s="4"/>
      <x:c r="E43" s="17" t="n">
        <x:f>E42-D42</x:f>
        <x:v>31829849.660000026</x:v>
      </x:c>
      <x:c r="F43" s="4"/>
      <x:c r="G43" s="3"/>
    </x:row>
    <x:row r="44" ht="23" customHeight="1">
      <x:c r="A44" s="1"/>
      <x:c r="B44" s="1"/>
      <x:c r="C44" s="3" t="str">
        <x:v>披露经营性应付现金流调整</x:v>
      </x:c>
      <x:c r="D44" s="4"/>
      <x:c r="E44" s="18" t="n">
        <x:f>Inputs!D21</x:f>
        <x:v>-15669754.68</x:v>
      </x:c>
      <x:c r="F44" s="4"/>
      <x:c r="G44" s="3"/>
    </x:row>
    <x:row r="45" ht="23" customHeight="1">
      <x:c r="A45" s="1"/>
      <x:c r="B45" s="1"/>
      <x:c r="C45" s="3" t="str">
        <x:v>披露调整减单一应付余额法</x:v>
      </x:c>
      <x:c r="D45" s="4"/>
      <x:c r="E45" s="17" t="n">
        <x:f>E44-E43</x:f>
        <x:v>-47499604.340000026</x:v>
      </x:c>
      <x:c r="F45" s="4"/>
      <x:c r="G45" s="3"/>
    </x:row>
    <x:row r="46" ht="23" customHeight="1">
      <x:c r="A46" s="1"/>
      <x:c r="B46" s="1"/>
      <x:c r="C46" s="3"/>
      <x:c r="D46" s="4"/>
      <x:c r="E46" s="4"/>
      <x:c r="F46" s="4"/>
      <x:c r="G46" s="3"/>
    </x:row>
    <x:row r="47" ht="23" customHeight="1">
      <x:c r="A47" s="1"/>
      <x:c r="B47" s="1"/>
      <x:c r="C47" s="3" t="str">
        <x:v>购房款尚未支付：期末重要应付</x:v>
      </x:c>
      <x:c r="D47" s="4"/>
      <x:c r="E47" s="18" t="n">
        <x:f>Inputs!D38</x:f>
        <x:v>1500000</x:v>
      </x:c>
      <x:c r="F47" s="4"/>
      <x:c r="G47" s="3"/>
    </x:row>
    <x:row r="48" ht="23" customHeight="1">
      <x:c r="A48" s="1"/>
      <x:c r="B48" s="1"/>
      <x:c r="C48" s="3" t="str">
        <x:v>工程质保金未到期：期末重要应付</x:v>
      </x:c>
      <x:c r="D48" s="4"/>
      <x:c r="E48" s="18" t="n">
        <x:f>Inputs!D39</x:f>
        <x:v>28291299.51</x:v>
      </x:c>
      <x:c r="F48" s="4"/>
      <x:c r="G48" s="3"/>
    </x:row>
    <x:row r="49" ht="23" customHeight="1">
      <x:c r="A49" s="1"/>
      <x:c r="B49" s="1"/>
      <x:c r="C49" s="3" t="str">
        <x:v>上述期末重要应付金额合计</x:v>
      </x:c>
      <x:c r="D49" s="4"/>
      <x:c r="E49" s="17" t="n">
        <x:f>SUM(E47:E48)</x:f>
        <x:v>29791299.51</x:v>
      </x:c>
      <x:c r="F49" s="4"/>
      <x:c r="G49" s="3"/>
    </x:row>
    <x:row r="50" ht="23" customHeight="1">
      <x:c r="A50" s="1"/>
      <x:c r="B50" s="1"/>
      <x:c r="C50" s="3"/>
      <x:c r="D50" s="4"/>
      <x:c r="E50" s="4"/>
      <x:c r="F50" s="4"/>
      <x:c r="G50" s="3"/>
    </x:row>
    <x:row r="51" ht="27" customHeight="1">
      <x:c r="A51" s="1"/>
      <x:c r="B51" s="1"/>
      <x:c r="C51" s="15" t="str">
        <x:v>合同负债</x:v>
      </x:c>
      <x:c r="D51" s="16" t="str">
        <x:v>2024-12-31</x:v>
      </x:c>
      <x:c r="E51" s="16" t="str">
        <x:v>2025-12-31</x:v>
      </x:c>
      <x:c r="F51" s="16" t="str">
        <x:v>期末减期初</x:v>
      </x:c>
      <x:c r="G51" s="15" t="str"/>
    </x:row>
    <x:row r="52" ht="23" customHeight="1">
      <x:c r="A52" s="1"/>
      <x:c r="B52" s="1"/>
      <x:c r="C52" s="3" t="str">
        <x:v>客户预收款</x:v>
      </x:c>
      <x:c r="D52" s="18" t="n">
        <x:f>Inputs!C40</x:f>
        <x:v>329846645.67</x:v>
      </x:c>
      <x:c r="E52" s="18" t="n">
        <x:f>Inputs!D40</x:f>
        <x:v>349812454.95</x:v>
      </x:c>
      <x:c r="F52" s="17" t="n">
        <x:f>E52-D52</x:f>
        <x:v>19965809.27999997</x:v>
      </x:c>
      <x:c r="G52" s="3"/>
    </x:row>
    <x:row r="53" ht="23" customHeight="1">
      <x:c r="A53" s="1"/>
      <x:c r="B53" s="1"/>
      <x:c r="C53" s="3" t="str">
        <x:v>贵宾卡预收款</x:v>
      </x:c>
      <x:c r="D53" s="18" t="n">
        <x:f>Inputs!C41</x:f>
        <x:v>11534064.8</x:v>
      </x:c>
      <x:c r="E53" s="18" t="n">
        <x:f>Inputs!D41</x:f>
        <x:v>10941441.02</x:v>
      </x:c>
      <x:c r="F53" s="17" t="n">
        <x:f>E53-D53</x:f>
        <x:v>-592623.7800000012</x:v>
      </x:c>
      <x:c r="G53" s="3"/>
    </x:row>
    <x:row r="54" ht="23" customHeight="1">
      <x:c r="A54" s="1"/>
      <x:c r="B54" s="1"/>
      <x:c r="C54" s="3" t="str">
        <x:v>其他</x:v>
      </x:c>
      <x:c r="D54" s="18" t="n">
        <x:f>Inputs!C42</x:f>
        <x:v>20595218.56</x:v>
      </x:c>
      <x:c r="E54" s="18" t="n">
        <x:f>Inputs!D42</x:f>
        <x:v>34926925.33</x:v>
      </x:c>
      <x:c r="F54" s="17" t="n">
        <x:f>E54-D54</x:f>
        <x:v>14331706.77</x:v>
      </x:c>
      <x:c r="G54" s="3"/>
    </x:row>
    <x:row r="55" ht="23" customHeight="1">
      <x:c r="A55" s="1"/>
      <x:c r="B55" s="1"/>
      <x:c r="C55" s="3" t="str">
        <x:v>披露合计</x:v>
      </x:c>
      <x:c r="D55" s="18" t="n">
        <x:f>Inputs!C43</x:f>
        <x:v>361975929.03</x:v>
      </x:c>
      <x:c r="E55" s="18" t="n">
        <x:f>Inputs!D43</x:f>
        <x:v>395680821.3</x:v>
      </x:c>
      <x:c r="F55" s="17" t="n">
        <x:f>E55-D55</x:f>
        <x:v>33704892.27000004</x:v>
      </x:c>
      <x:c r="G55" s="3"/>
    </x:row>
    <x:row r="56" ht="23" customHeight="1">
      <x:c r="A56" s="1"/>
      <x:c r="B56" s="1"/>
      <x:c r="C56" s="3" t="str">
        <x:v>分项计算合计</x:v>
      </x:c>
      <x:c r="D56" s="17" t="n">
        <x:f>SUM(D52:D54)</x:f>
        <x:v>361975929.03000003</x:v>
      </x:c>
      <x:c r="E56" s="17" t="n">
        <x:f>SUM(E52:E54)</x:f>
        <x:v>395680821.29999995</x:v>
      </x:c>
      <x:c r="F56" s="17" t="n">
        <x:f>E56-D56</x:f>
        <x:v>33704892.26999992</x:v>
      </x:c>
      <x:c r="G56" s="3"/>
    </x:row>
    <x:row r="57" ht="23" customHeight="1">
      <x:c r="A57" s="1"/>
      <x:c r="B57" s="1"/>
      <x:c r="C57" s="3" t="str">
        <x:v>分项合计减披露合计</x:v>
      </x:c>
      <x:c r="D57" s="28" t="n">
        <x:f>D56-D55</x:f>
        <x:v>5.960464477539063e-8</x:v>
      </x:c>
      <x:c r="E57" s="28" t="n">
        <x:f>E56-E55</x:f>
        <x:v>-5.960464477539063e-8</x:v>
      </x:c>
      <x:c r="F57" s="29"/>
      <x:c r="G57" s="3"/>
    </x:row>
    <x:row r="58" ht="23" customHeight="1">
      <x:c r="A58" s="1"/>
      <x:c r="B58" s="1"/>
      <x:c r="C58" s="3"/>
      <x:c r="D58" s="4"/>
      <x:c r="E58" s="4"/>
      <x:c r="F58" s="4"/>
      <x:c r="G58" s="3"/>
    </x:row>
    <x:row r="59" ht="23" customHeight="1">
      <x:c r="A59" s="1"/>
      <x:c r="B59" s="1"/>
      <x:c r="C59" s="3"/>
      <x:c r="D59" s="4"/>
      <x:c r="E59" s="4"/>
      <x:c r="F59" s="4"/>
      <x:c r="G59" s="3"/>
    </x:row>
    <x:row r="60" ht="23" customHeight="1">
      <x:c r="A60" s="1"/>
      <x:c r="B60" s="1"/>
      <x:c r="C60" s="3" t="str">
        <x:v>差额不等于错报，需经营性科目映射与非现金调整明细。</x:v>
      </x:c>
      <x:c r="D60" s="4"/>
      <x:c r="E60" s="4"/>
      <x:c r="F60" s="4"/>
      <x:c r="G60" s="3"/>
    </x:row>
    <x:row r="61" ht="23" customHeight="1">
      <x:c r="A61" s="1"/>
      <x:c r="B61" s="1"/>
      <x:c r="C61" s="3" t="str">
        <x:v>存货准备桥为可复核算术关系，不证明逐笔采购现金。</x:v>
      </x:c>
      <x:c r="D61" s="4"/>
      <x:c r="E61" s="4"/>
      <x:c r="F61" s="4"/>
      <x:c r="G61" s="3"/>
    </x:row>
  </x:sheetData>
  <x:conditionalFormatting sqref="D11:F11">
    <x:cfRule type="expression" dxfId="5" priority="1">
      <x:formula>ABS(D11)&gt;0.02</x:formula>
    </x:cfRule>
  </x:conditionalFormatting>
  <x:conditionalFormatting sqref="D17:F17">
    <x:cfRule type="expression" dxfId="6" priority="2">
      <x:formula>ABS(D17)&gt;0.02</x:formula>
    </x:cfRule>
  </x:conditionalFormatting>
  <x:conditionalFormatting sqref="D24:F24">
    <x:cfRule type="expression" dxfId="7" priority="3">
      <x:formula>ABS(D24)&gt;0.02</x:formula>
    </x:cfRule>
  </x:conditionalFormatting>
  <x:conditionalFormatting sqref="D28:F28">
    <x:cfRule type="expression" dxfId="8" priority="4">
      <x:formula>ABS(D28)&gt;0.02</x:formula>
    </x:cfRule>
  </x:conditionalFormatting>
  <x:conditionalFormatting sqref="D35:F35">
    <x:cfRule type="expression" dxfId="9" priority="5">
      <x:formula>ABS(D35)&gt;0.02</x:formula>
    </x:cfRule>
  </x:conditionalFormatting>
  <x:conditionalFormatting sqref="D57:F57">
    <x:cfRule type="expression" dxfId="10" priority="6">
      <x:formula>ABS(D57)&gt;0.02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8DED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41" hidden="0" customWidth="1"/>
    <x:col min="3" max="3" width="22" hidden="0" customWidth="1"/>
    <x:col min="4" max="4" width="22" hidden="0" customWidth="1"/>
    <x:col min="5" max="5" width="9" hidden="0" customWidth="1"/>
    <x:col min="6" max="6" width="61" hidden="0" customWidth="1"/>
  </x:cols>
  <x:sheetData>
    <x:row r="1" ht="23" customHeight="1">
      <x:c r="A1" s="30"/>
      <x:c r="B1" s="30"/>
      <x:c r="C1" s="30"/>
      <x:c r="D1" s="30"/>
      <x:c r="E1" s="30"/>
      <x:c r="F1" s="30"/>
    </x:row>
    <x:row r="2" ht="23" customHeight="1">
      <x:c r="A2" s="31" t="str">
        <x:v>报喜鸟2025年年度报告原始取数</x:v>
      </x:c>
      <x:c r="B2" s="30"/>
      <x:c r="C2" s="30"/>
      <x:c r="D2" s="30"/>
      <x:c r="E2" s="30"/>
      <x:c r="F2" s="30"/>
    </x:row>
    <x:row r="3" ht="23" customHeight="1">
      <x:c r="A3" s="30" t="str">
        <x:v>来源：报喜鸟2025年年报；巨潮资讯2026-04-25版本；以下页码物理=印刷。</x:v>
      </x:c>
      <x:c r="B3" s="30"/>
      <x:c r="C3" s="30"/>
      <x:c r="D3" s="30"/>
      <x:c r="E3" s="30"/>
      <x:c r="F3" s="30"/>
    </x:row>
    <x:row r="4" ht="23" customHeight="1">
      <x:c r="A4" s="30" t="str">
        <x:v>https://static.cninfo.com.cn/finalpage/2026-04-25/1225189846.PDF</x:v>
      </x:c>
      <x:c r="B4" s="30"/>
      <x:c r="C4" s="30"/>
      <x:c r="D4" s="30"/>
      <x:c r="E4" s="30"/>
      <x:c r="F4" s="30"/>
    </x:row>
    <x:row r="5" ht="28" customHeight="1">
      <x:c r="A5" s="33" t="str">
        <x:v>事实代码</x:v>
      </x:c>
      <x:c r="B5" s="33" t="str">
        <x:v>披露科目（合并，人民币元）</x:v>
      </x:c>
      <x:c r="C5" s="33" t="str">
        <x:v>2024年度/期末</x:v>
      </x:c>
      <x:c r="D5" s="33" t="str">
        <x:v>2025年度/期末</x:v>
      </x:c>
      <x:c r="E5" s="33" t="str">
        <x:v>页码</x:v>
      </x:c>
      <x:c r="F5" s="33" t="str">
        <x:v>原件章节及备注</x:v>
      </x:c>
    </x:row>
    <x:row r="6" ht="23" customHeight="1">
      <x:c r="A6" s="30" t="str">
        <x:v>NP</x:v>
      </x:c>
      <x:c r="B6" s="30" t="str">
        <x:v>净利润</x:v>
      </x:c>
      <x:c r="C6" s="35" t="n">
        <x:v>520154868.04</x:v>
      </x:c>
      <x:c r="D6" s="35" t="n">
        <x:v>350495471.77</x:v>
      </x:c>
      <x:c r="E6" s="30" t="n">
        <x:v>181</x:v>
      </x:c>
      <x:c r="F6" s="30" t="str">
        <x:v>七、79(1) 将净利润调节为经营活动现金流量/净利润</x:v>
      </x:c>
    </x:row>
    <x:row r="7" ht="23" customHeight="1">
      <x:c r="A7" s="30" t="str">
        <x:v>IMPAIRMENT</x:v>
      </x:c>
      <x:c r="B7" s="30" t="str">
        <x:v>资产减值准备</x:v>
      </x:c>
      <x:c r="C7" s="35" t="n">
        <x:v>131702070.69</x:v>
      </x:c>
      <x:c r="D7" s="35" t="n">
        <x:v>129150437.47</x:v>
      </x:c>
      <x:c r="E7" s="30" t="n">
        <x:v>181</x:v>
      </x:c>
      <x:c r="F7" s="30" t="str">
        <x:v>七、79(1) 将净利润调节为经营活动现金流量/资产减值准备</x:v>
      </x:c>
    </x:row>
    <x:row r="8" ht="23" customHeight="1">
      <x:c r="A8" s="30" t="str">
        <x:v>FA_DEPR</x:v>
      </x:c>
      <x:c r="B8" s="30" t="str">
        <x:v>固定资产折旧等</x:v>
      </x:c>
      <x:c r="C8" s="35" t="n">
        <x:v>72162696.54</x:v>
      </x:c>
      <x:c r="D8" s="35" t="n">
        <x:v>78252333.78</x:v>
      </x:c>
      <x:c r="E8" s="30" t="n">
        <x:v>181</x:v>
      </x:c>
      <x:c r="F8" s="30" t="str">
        <x:v>七、79(1) 将净利润调节为经营活动现金流量/固定资产折旧等</x:v>
      </x:c>
    </x:row>
    <x:row r="9" ht="23" customHeight="1">
      <x:c r="A9" s="30" t="str">
        <x:v>ROU_DEPR</x:v>
      </x:c>
      <x:c r="B9" s="30" t="str">
        <x:v>使用权资产折旧</x:v>
      </x:c>
      <x:c r="C9" s="35" t="n">
        <x:v>107043979.81</x:v>
      </x:c>
      <x:c r="D9" s="35" t="n">
        <x:v>105712967.97</x:v>
      </x:c>
      <x:c r="E9" s="30" t="n">
        <x:v>181</x:v>
      </x:c>
      <x:c r="F9" s="30" t="str">
        <x:v>七、79(1) 将净利润调节为经营活动现金流量/使用权资产折旧</x:v>
      </x:c>
    </x:row>
    <x:row r="10" ht="23" customHeight="1">
      <x:c r="A10" s="30" t="str">
        <x:v>INTANGIBLE</x:v>
      </x:c>
      <x:c r="B10" s="30" t="str">
        <x:v>无形资产摊销</x:v>
      </x:c>
      <x:c r="C10" s="35" t="n">
        <x:v>17002427.47</x:v>
      </x:c>
      <x:c r="D10" s="35" t="n">
        <x:v>45481218.89</x:v>
      </x:c>
      <x:c r="E10" s="30" t="n">
        <x:v>181</x:v>
      </x:c>
      <x:c r="F10" s="30" t="str">
        <x:v>七、79(1) 将净利润调节为经营活动现金流量/无形资产摊销</x:v>
      </x:c>
    </x:row>
    <x:row r="11" ht="23" customHeight="1">
      <x:c r="A11" s="30" t="str">
        <x:v>LT_AMORT</x:v>
      </x:c>
      <x:c r="B11" s="30" t="str">
        <x:v>长期待摊费用摊销</x:v>
      </x:c>
      <x:c r="C11" s="35" t="n">
        <x:v>79542654.39</x:v>
      </x:c>
      <x:c r="D11" s="35" t="n">
        <x:v>98923213.05</x:v>
      </x:c>
      <x:c r="E11" s="30" t="n">
        <x:v>181</x:v>
      </x:c>
      <x:c r="F11" s="30" t="str">
        <x:v>七、79(1) 将净利润调节为经营活动现金流量/长期待摊费用摊销</x:v>
      </x:c>
    </x:row>
    <x:row r="12" ht="23" customHeight="1">
      <x:c r="A12" s="30" t="str">
        <x:v>DISPOSAL</x:v>
      </x:c>
      <x:c r="B12" s="30" t="str">
        <x:v>处置长期资产损失（收益负列）</x:v>
      </x:c>
      <x:c r="C12" s="35" t="n">
        <x:v>13123778.75</x:v>
      </x:c>
      <x:c r="D12" s="35" t="n">
        <x:v>-1424553.65</x:v>
      </x:c>
      <x:c r="E12" s="30" t="n">
        <x:v>181</x:v>
      </x:c>
      <x:c r="F12" s="30" t="str">
        <x:v>七、79(1) 将净利润调节为经营活动现金流量/处置长期资产损失（收益负列）</x:v>
      </x:c>
    </x:row>
    <x:row r="13" ht="23" customHeight="1">
      <x:c r="A13" s="30" t="str">
        <x:v>SCRAP</x:v>
      </x:c>
      <x:c r="B13" s="30" t="str">
        <x:v>固定资产报废损失</x:v>
      </x:c>
      <x:c r="C13" s="35" t="n">
        <x:v>450932.08</x:v>
      </x:c>
      <x:c r="D13" s="35" t="n">
        <x:v>13839675.54</x:v>
      </x:c>
      <x:c r="E13" s="30" t="n">
        <x:v>181</x:v>
      </x:c>
      <x:c r="F13" s="30" t="str">
        <x:v>七、79(1) 将净利润调节为经营活动现金流量/固定资产报废损失</x:v>
      </x:c>
    </x:row>
    <x:row r="14" ht="23" customHeight="1">
      <x:c r="A14" s="30" t="str">
        <x:v>FV</x:v>
      </x:c>
      <x:c r="B14" s="30" t="str">
        <x:v>公允价值变动损失</x:v>
      </x:c>
      <x:c r="C14" s="35" t="n">
        <x:v>14400320.94</x:v>
      </x:c>
      <x:c r="D14" s="35" t="n">
        <x:v>158635.19</x:v>
      </x:c>
      <x:c r="E14" s="30" t="n">
        <x:v>181</x:v>
      </x:c>
      <x:c r="F14" s="30" t="str">
        <x:v>七、79(1) 将净利润调节为经营活动现金流量/公允价值变动损失</x:v>
      </x:c>
    </x:row>
    <x:row r="15" ht="23" customHeight="1">
      <x:c r="A15" s="30" t="str">
        <x:v>FINANCE</x:v>
      </x:c>
      <x:c r="B15" s="30" t="str">
        <x:v>财务费用（收益负列）</x:v>
      </x:c>
      <x:c r="C15" s="35" t="n">
        <x:v>11105993.98</x:v>
      </x:c>
      <x:c r="D15" s="35" t="n">
        <x:v>10297740.94</x:v>
      </x:c>
      <x:c r="E15" s="30" t="n">
        <x:v>181</x:v>
      </x:c>
      <x:c r="F15" s="30" t="str">
        <x:v>七、79(1) 将净利润调节为经营活动现金流量/财务费用（收益负列）</x:v>
      </x:c>
    </x:row>
    <x:row r="16" ht="23" customHeight="1">
      <x:c r="A16" s="30" t="str">
        <x:v>INVESTMENT</x:v>
      </x:c>
      <x:c r="B16" s="30" t="str">
        <x:v>投资损失（收益负列）</x:v>
      </x:c>
      <x:c r="C16" s="35" t="n">
        <x:v>-10504657.47</x:v>
      </x:c>
      <x:c r="D16" s="35" t="n">
        <x:v>-17509099.67</x:v>
      </x:c>
      <x:c r="E16" s="30" t="n">
        <x:v>181</x:v>
      </x:c>
      <x:c r="F16" s="30" t="str">
        <x:v>七、79(1) 将净利润调节为经营活动现金流量/投资损失（收益负列）</x:v>
      </x:c>
    </x:row>
    <x:row r="17" ht="23" customHeight="1">
      <x:c r="A17" s="30" t="str">
        <x:v>DTA</x:v>
      </x:c>
      <x:c r="B17" s="30" t="str">
        <x:v>递延所得税资产减少</x:v>
      </x:c>
      <x:c r="C17" s="35" t="n">
        <x:v>4532000.79</x:v>
      </x:c>
      <x:c r="D17" s="35" t="n">
        <x:v>-12574202.23</x:v>
      </x:c>
      <x:c r="E17" s="30" t="n">
        <x:v>181</x:v>
      </x:c>
      <x:c r="F17" s="30" t="str">
        <x:v>七、79(1) 将净利润调节为经营活动现金流量/递延所得税资产减少</x:v>
      </x:c>
    </x:row>
    <x:row r="18" ht="23" customHeight="1">
      <x:c r="A18" s="30" t="str">
        <x:v>DTL</x:v>
      </x:c>
      <x:c r="B18" s="30" t="str">
        <x:v>递延所得税负债增加</x:v>
      </x:c>
      <x:c r="C18" s="35" t="n">
        <x:v>-1763159.1</x:v>
      </x:c>
      <x:c r="D18" s="35" t="n">
        <x:v>-183193.86</x:v>
      </x:c>
      <x:c r="E18" s="30" t="n">
        <x:v>181</x:v>
      </x:c>
      <x:c r="F18" s="30" t="str">
        <x:v>七、79(1) 将净利润调节为经营活动现金流量/递延所得税负债增加</x:v>
      </x:c>
    </x:row>
    <x:row r="19" ht="23" customHeight="1">
      <x:c r="A19" s="30" t="str">
        <x:v>INVENTORY_CF</x:v>
      </x:c>
      <x:c r="B19" s="30" t="str">
        <x:v>存货的减少</x:v>
      </x:c>
      <x:c r="C19" s="35" t="n">
        <x:v>-148190301.59</x:v>
      </x:c>
      <x:c r="D19" s="35" t="n">
        <x:v>-166428589.3</x:v>
      </x:c>
      <x:c r="E19" s="30" t="n">
        <x:v>181</x:v>
      </x:c>
      <x:c r="F19" s="30" t="str">
        <x:v>七、79(1) 将净利润调节为经营活动现金流量/存货的减少</x:v>
      </x:c>
    </x:row>
    <x:row r="20" ht="23" customHeight="1">
      <x:c r="A20" s="30" t="str">
        <x:v>RECEIVABLE_CF</x:v>
      </x:c>
      <x:c r="B20" s="30" t="str">
        <x:v>经营性应收项目的减少</x:v>
      </x:c>
      <x:c r="C20" s="35" t="n">
        <x:v>-290252934.4</x:v>
      </x:c>
      <x:c r="D20" s="35" t="n">
        <x:v>17438639.45</x:v>
      </x:c>
      <x:c r="E20" s="30" t="n">
        <x:v>181</x:v>
      </x:c>
      <x:c r="F20" s="30" t="str">
        <x:v>七、79(1) 将净利润调节为经营活动现金流量/经营性应收项目的减少</x:v>
      </x:c>
    </x:row>
    <x:row r="21" ht="23" customHeight="1">
      <x:c r="A21" s="30" t="str">
        <x:v>PAYABLE_CF</x:v>
      </x:c>
      <x:c r="B21" s="30" t="str">
        <x:v>经营性应付项目的增加</x:v>
      </x:c>
      <x:c r="C21" s="35" t="n">
        <x:v>181195859.79</x:v>
      </x:c>
      <x:c r="D21" s="35" t="n">
        <x:v>-15669754.68</x:v>
      </x:c>
      <x:c r="E21" s="30" t="n">
        <x:v>181</x:v>
      </x:c>
      <x:c r="F21" s="30" t="str">
        <x:v>七、79(1) 将净利润调节为经营活动现金流量/经营性应付项目的增加</x:v>
      </x:c>
    </x:row>
    <x:row r="22" ht="23" customHeight="1">
      <x:c r="A22" s="30" t="str">
        <x:v>OTHER</x:v>
      </x:c>
      <x:c r="B22" s="30" t="str">
        <x:v>其他</x:v>
      </x:c>
      <x:c r="C22" s="35" t="n">
        <x:v>524039.16</x:v>
      </x:c>
      <x:c r="D22" s="35" t="n">
        <x:v>524039.16</x:v>
      </x:c>
      <x:c r="E22" s="30" t="n">
        <x:v>181</x:v>
      </x:c>
      <x:c r="F22" s="30" t="str">
        <x:v>七、79(1) 将净利润调节为经营活动现金流量/其他</x:v>
      </x:c>
    </x:row>
    <x:row r="23" ht="23" customHeight="1">
      <x:c r="A23" s="30" t="str">
        <x:v>CFO</x:v>
      </x:c>
      <x:c r="B23" s="30" t="str">
        <x:v>披露经营活动现金流净额</x:v>
      </x:c>
      <x:c r="C23" s="35" t="n">
        <x:v>702230569.87</x:v>
      </x:c>
      <x:c r="D23" s="35" t="n">
        <x:v>636484979.82</x:v>
      </x:c>
      <x:c r="E23" s="30" t="n">
        <x:v>181</x:v>
      </x:c>
      <x:c r="F23" s="30" t="str">
        <x:v>补充资料第1部分合计</x:v>
      </x:c>
    </x:row>
    <x:row r="24" ht="23" customHeight="1">
      <x:c r="A24" s="30" t="str">
        <x:v>MAIN_NP</x:v>
      </x:c>
      <x:c r="B24" s="30" t="str">
        <x:v>合并利润表净利润</x:v>
      </x:c>
      <x:c r="C24" s="35" t="n">
        <x:v>520154868.04</x:v>
      </x:c>
      <x:c r="D24" s="35" t="n">
        <x:v>350495471.77</x:v>
      </x:c>
      <x:c r="E24" s="30" t="n">
        <x:v>82</x:v>
      </x:c>
      <x:c r="F24" s="30" t="str">
        <x:v>五、净利润</x:v>
      </x:c>
    </x:row>
    <x:row r="25" ht="23" customHeight="1">
      <x:c r="A25" s="30" t="str">
        <x:v>PARENT_NP</x:v>
      </x:c>
      <x:c r="B25" s="30" t="str">
        <x:v>归属于母公司股东的净利润</x:v>
      </x:c>
      <x:c r="C25" s="35" t="n">
        <x:v>494960049.58</x:v>
      </x:c>
      <x:c r="D25" s="35" t="n">
        <x:v>341747762.73</x:v>
      </x:c>
      <x:c r="E25" s="30" t="n">
        <x:v>82</x:v>
      </x:c>
      <x:c r="F25" s="30" t="str">
        <x:v>按所有权归属分类</x:v>
      </x:c>
    </x:row>
    <x:row r="26" ht="23" customHeight="1">
      <x:c r="A26" s="30" t="str">
        <x:v>MINORITY_NP</x:v>
      </x:c>
      <x:c r="B26" s="30" t="str">
        <x:v>少数股东损益</x:v>
      </x:c>
      <x:c r="C26" s="35" t="n">
        <x:v>25194818.46</x:v>
      </x:c>
      <x:c r="D26" s="35" t="n">
        <x:v>8747709.04</x:v>
      </x:c>
      <x:c r="E26" s="30" t="n">
        <x:v>82</x:v>
      </x:c>
      <x:c r="F26" s="30" t="str">
        <x:v>按所有权归属分类</x:v>
      </x:c>
    </x:row>
    <x:row r="27" ht="23" customHeight="1">
      <x:c r="A27" s="30" t="str">
        <x:v>CF_IN</x:v>
      </x:c>
      <x:c r="B27" s="30" t="str">
        <x:v>经营活动现金流入小计</x:v>
      </x:c>
      <x:c r="C27" s="35" t="n">
        <x:v>5263911054.64</x:v>
      </x:c>
      <x:c r="D27" s="35" t="n">
        <x:v>5287970882.21</x:v>
      </x:c>
      <x:c r="E27" s="30" t="n">
        <x:v>85</x:v>
      </x:c>
      <x:c r="F27" s="30" t="str">
        <x:v>合并现金流量表经营活动部分</x:v>
      </x:c>
    </x:row>
    <x:row r="28" ht="23" customHeight="1">
      <x:c r="A28" s="30" t="str">
        <x:v>CF_OUT</x:v>
      </x:c>
      <x:c r="B28" s="30" t="str">
        <x:v>经营活动现金流出小计</x:v>
      </x:c>
      <x:c r="C28" s="35" t="n">
        <x:v>4561680484.77</x:v>
      </x:c>
      <x:c r="D28" s="35" t="n">
        <x:v>4651485902.39</x:v>
      </x:c>
      <x:c r="E28" s="30" t="n">
        <x:v>85</x:v>
      </x:c>
      <x:c r="F28" s="30" t="str">
        <x:v>合并现金流量表经营活动部分</x:v>
      </x:c>
    </x:row>
    <x:row r="29" ht="23" customHeight="1">
      <x:c r="A29" s="30" t="str">
        <x:v>INV_GROSS</x:v>
      </x:c>
      <x:c r="B29" s="30" t="str">
        <x:v>存货账面余额</x:v>
      </x:c>
      <x:c r="C29" s="35" t="n">
        <x:v>1334685879.29</x:v>
      </x:c>
      <x:c r="D29" s="35" t="n">
        <x:v>1435277949.76</x:v>
      </x:c>
      <x:c r="E29" s="30" t="n">
        <x:v>140</x:v>
      </x:c>
      <x:c r="F29" s="30" t="str">
        <x:v>七、10(1)存货分类合计</x:v>
      </x:c>
    </x:row>
    <x:row r="30" ht="23" customHeight="1">
      <x:c r="A30" s="30" t="str">
        <x:v>INV_ALLOW</x:v>
      </x:c>
      <x:c r="B30" s="30" t="str">
        <x:v>存货跌价准备</x:v>
      </x:c>
      <x:c r="C30" s="35" t="n">
        <x:v>129891177.58</x:v>
      </x:c>
      <x:c r="D30" s="35" t="n">
        <x:v>158901675.52</x:v>
      </x:c>
      <x:c r="E30" s="30" t="n">
        <x:v>140</x:v>
      </x:c>
      <x:c r="F30" s="30" t="str">
        <x:v>七、10(1)存货分类合计</x:v>
      </x:c>
    </x:row>
    <x:row r="31" ht="23" customHeight="1">
      <x:c r="A31" s="30" t="str">
        <x:v>INV_NET</x:v>
      </x:c>
      <x:c r="B31" s="30" t="str">
        <x:v>存货账面价值</x:v>
      </x:c>
      <x:c r="C31" s="35" t="n">
        <x:v>1204794701.71</x:v>
      </x:c>
      <x:c r="D31" s="35" t="n">
        <x:v>1276376274.24</x:v>
      </x:c>
      <x:c r="E31" s="30" t="n">
        <x:v>140</x:v>
      </x:c>
      <x:c r="F31" s="30" t="str">
        <x:v>七、10(1)存货分类合计；合并资产负债表p77</x:v>
      </x:c>
    </x:row>
    <x:row r="32" ht="23" customHeight="1">
      <x:c r="A32" s="30" t="str">
        <x:v>INV_CHARGE</x:v>
      </x:c>
      <x:c r="B32" s="30" t="str">
        <x:v>本期存货跌价准备计提</x:v>
      </x:c>
      <x:c r="C32" s="35"/>
      <x:c r="D32" s="35" t="n">
        <x:v>94847016.77</x:v>
      </x:c>
      <x:c r="E32" s="30" t="n">
        <x:v>140</x:v>
      </x:c>
      <x:c r="F32" s="30" t="str">
        <x:v>七、10(3)准备本期增加/计提合计</x:v>
      </x:c>
    </x:row>
    <x:row r="33" ht="23" customHeight="1">
      <x:c r="A33" s="30" t="str">
        <x:v>INV_RELEASE</x:v>
      </x:c>
      <x:c r="B33" s="30" t="str">
        <x:v>本期存货准备转回或转销</x:v>
      </x:c>
      <x:c r="C33" s="35"/>
      <x:c r="D33" s="35" t="n">
        <x:v>65836518.83</x:v>
      </x:c>
      <x:c r="E33" s="30" t="n">
        <x:v>140</x:v>
      </x:c>
      <x:c r="F33" s="30" t="str">
        <x:v>七、10(3)准备本期减少/转回或转销合计</x:v>
      </x:c>
    </x:row>
    <x:row r="34" ht="23" customHeight="1">
      <x:c r="A34" s="30" t="str">
        <x:v>AR_GROSS</x:v>
      </x:c>
      <x:c r="B34" s="30" t="str">
        <x:v>应收账款账面余额</x:v>
      </x:c>
      <x:c r="C34" s="35" t="n">
        <x:v>781369444.56</x:v>
      </x:c>
      <x:c r="D34" s="35" t="n">
        <x:v>717784195.73</x:v>
      </x:c>
      <x:c r="E34" s="30" t="n">
        <x:v>128</x:v>
      </x:c>
      <x:c r="F34" s="30" t="str">
        <x:v>七、5(2)按坏账计提方法分类合计</x:v>
      </x:c>
    </x:row>
    <x:row r="35" ht="23" customHeight="1">
      <x:c r="A35" s="30" t="str">
        <x:v>AR_ALLOW</x:v>
      </x:c>
      <x:c r="B35" s="30" t="str">
        <x:v>应收账款坏账准备</x:v>
      </x:c>
      <x:c r="C35" s="35" t="n">
        <x:v>88538659.21</x:v>
      </x:c>
      <x:c r="D35" s="35" t="n">
        <x:v>75506628.53</x:v>
      </x:c>
      <x:c r="E35" s="30" t="n">
        <x:v>128</x:v>
      </x:c>
      <x:c r="F35" s="30" t="str">
        <x:v>七、5(2)按坏账计提方法分类合计</x:v>
      </x:c>
    </x:row>
    <x:row r="36" ht="23" customHeight="1">
      <x:c r="A36" s="30" t="str">
        <x:v>AR_NET</x:v>
      </x:c>
      <x:c r="B36" s="30" t="str">
        <x:v>应收账款账面价值</x:v>
      </x:c>
      <x:c r="C36" s="35" t="n">
        <x:v>692830785.35</x:v>
      </x:c>
      <x:c r="D36" s="35" t="n">
        <x:v>642277567.2</x:v>
      </x:c>
      <x:c r="E36" s="30" t="n">
        <x:v>128</x:v>
      </x:c>
      <x:c r="F36" s="30" t="str">
        <x:v>七、5(2)合计；合并资产负债表p77</x:v>
      </x:c>
    </x:row>
    <x:row r="37" ht="23" customHeight="1">
      <x:c r="A37" s="30" t="str">
        <x:v>AP</x:v>
      </x:c>
      <x:c r="B37" s="30" t="str">
        <x:v>应付账款</x:v>
      </x:c>
      <x:c r="C37" s="35" t="n">
        <x:v>460218384.9</x:v>
      </x:c>
      <x:c r="D37" s="35" t="n">
        <x:v>492048234.56</x:v>
      </x:c>
      <x:c r="E37" s="30" t="n">
        <x:v>163</x:v>
      </x:c>
      <x:c r="F37" s="30" t="str">
        <x:v>七、36(1)合计；合并资产负债表p78</x:v>
      </x:c>
    </x:row>
    <x:row r="38" ht="23" customHeight="1">
      <x:c r="A38" s="30" t="str">
        <x:v>AP_PROPERTY</x:v>
      </x:c>
      <x:c r="B38" s="30" t="str">
        <x:v>重要应付账款：购房款尚未支付</x:v>
      </x:c>
      <x:c r="C38" s="35"/>
      <x:c r="D38" s="35" t="n">
        <x:v>1500000</x:v>
      </x:c>
      <x:c r="E38" s="30" t="n">
        <x:v>163</x:v>
      </x:c>
      <x:c r="F38" s="30" t="str">
        <x:v>七、36(2)恩施市金泰广场（项目）开发有限公司</x:v>
      </x:c>
    </x:row>
    <x:row r="39" ht="23" customHeight="1">
      <x:c r="A39" s="30" t="str">
        <x:v>AP_ENGINEER</x:v>
      </x:c>
      <x:c r="B39" s="30" t="str">
        <x:v>重要应付账款：工程质保金未到期</x:v>
      </x:c>
      <x:c r="C39" s="35"/>
      <x:c r="D39" s="35" t="n">
        <x:v>28291299.51</x:v>
      </x:c>
      <x:c r="E39" s="30" t="n">
        <x:v>163</x:v>
      </x:c>
      <x:c r="F39" s="30" t="str">
        <x:v>七、36(2)安徽鑫源建设集团有限公司</x:v>
      </x:c>
    </x:row>
    <x:row r="40" ht="23" customHeight="1">
      <x:c r="A40" s="30" t="str">
        <x:v>CL_CUSTOMER</x:v>
      </x:c>
      <x:c r="B40" s="30" t="str">
        <x:v>合同负债：客户预收款</x:v>
      </x:c>
      <x:c r="C40" s="35" t="n">
        <x:v>329846645.67</x:v>
      </x:c>
      <x:c r="D40" s="35" t="n">
        <x:v>349812454.95</x:v>
      </x:c>
      <x:c r="E40" s="30" t="n">
        <x:v>165</x:v>
      </x:c>
      <x:c r="F40" s="30" t="str">
        <x:v>七、39合同负债</x:v>
      </x:c>
    </x:row>
    <x:row r="41" ht="23" customHeight="1">
      <x:c r="A41" s="30" t="str">
        <x:v>CL_CARD</x:v>
      </x:c>
      <x:c r="B41" s="30" t="str">
        <x:v>合同负债：贵宾卡预收款</x:v>
      </x:c>
      <x:c r="C41" s="35" t="n">
        <x:v>11534064.8</x:v>
      </x:c>
      <x:c r="D41" s="35" t="n">
        <x:v>10941441.02</x:v>
      </x:c>
      <x:c r="E41" s="30" t="n">
        <x:v>165</x:v>
      </x:c>
      <x:c r="F41" s="30" t="str">
        <x:v>七、39合同负债</x:v>
      </x:c>
    </x:row>
    <x:row r="42" ht="23" customHeight="1">
      <x:c r="A42" s="30" t="str">
        <x:v>CL_OTHER</x:v>
      </x:c>
      <x:c r="B42" s="30" t="str">
        <x:v>合同负债：其他</x:v>
      </x:c>
      <x:c r="C42" s="35" t="n">
        <x:v>20595218.56</x:v>
      </x:c>
      <x:c r="D42" s="35" t="n">
        <x:v>34926925.33</x:v>
      </x:c>
      <x:c r="E42" s="30" t="n">
        <x:v>165</x:v>
      </x:c>
      <x:c r="F42" s="30" t="str">
        <x:v>七、39合同负债</x:v>
      </x:c>
    </x:row>
    <x:row r="43" ht="23" customHeight="1">
      <x:c r="A43" s="30" t="str">
        <x:v>CL_TOTAL</x:v>
      </x:c>
      <x:c r="B43" s="30" t="str">
        <x:v>合同负债合计</x:v>
      </x:c>
      <x:c r="C43" s="35" t="n">
        <x:v>361975929.03</x:v>
      </x:c>
      <x:c r="D43" s="35" t="n">
        <x:v>395680821.3</x:v>
      </x:c>
      <x:c r="E43" s="30" t="n">
        <x:v>165</x:v>
      </x:c>
      <x:c r="F43" s="30" t="str">
        <x:v>七、39合计；合并资产负债表p78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44" hidden="0" customWidth="1"/>
    <x:col min="3" max="3" width="24" hidden="0" customWidth="1"/>
    <x:col min="4" max="4" width="12" hidden="0" customWidth="1"/>
    <x:col min="5" max="5" width="12" hidden="0" customWidth="1"/>
    <x:col min="6" max="6" width="9" hidden="0" customWidth="1"/>
    <x:col min="7" max="7" width="18" hidden="0" customWidth="1"/>
    <x:col min="8" max="8" width="24" hidden="0" customWidth="1"/>
    <x:col min="9" max="9" width="17" hidden="0" customWidth="1"/>
  </x:cols>
  <x:sheetData>
    <x:row r="1" ht="23" customHeight="1">
      <x:c r="A1" s="30"/>
      <x:c r="B1" s="30"/>
      <x:c r="C1" s="30"/>
      <x:c r="D1" s="30"/>
      <x:c r="E1" s="30"/>
      <x:c r="F1" s="30"/>
      <x:c r="G1" s="30"/>
      <x:c r="H1" s="30"/>
      <x:c r="I1" s="30"/>
    </x:row>
    <x:row r="2" ht="23" customHeight="1">
      <x:c r="A2" s="31" t="str">
        <x:v>利润与营运资本复核索引</x:v>
      </x:c>
      <x:c r="B2" s="30"/>
      <x:c r="C2" s="30"/>
      <x:c r="D2" s="30"/>
      <x:c r="E2" s="30"/>
      <x:c r="F2" s="30"/>
      <x:c r="G2" s="30"/>
      <x:c r="H2" s="30"/>
      <x:c r="I2" s="30"/>
    </x:row>
    <x:row r="3" ht="23" customHeight="1">
      <x:c r="A3" s="30" t="str">
        <x:v>合并，人民币；数据和计算位置供研究交接。</x:v>
      </x:c>
      <x:c r="B3" s="30"/>
      <x:c r="C3" s="30"/>
      <x:c r="D3" s="30"/>
      <x:c r="E3" s="30"/>
      <x:c r="F3" s="30"/>
      <x:c r="G3" s="30"/>
      <x:c r="H3" s="30"/>
      <x:c r="I3" s="30"/>
    </x:row>
    <x:row r="4" ht="23" customHeight="1">
      <x:c r="A4" s="30"/>
      <x:c r="B4" s="30"/>
      <x:c r="C4" s="30"/>
      <x:c r="D4" s="30"/>
      <x:c r="E4" s="30"/>
      <x:c r="F4" s="30"/>
      <x:c r="G4" s="30"/>
      <x:c r="H4" s="30"/>
      <x:c r="I4" s="30"/>
    </x:row>
    <x:row r="5" ht="27" customHeight="1">
      <x:c r="A5" s="38" t="str">
        <x:v>指标ID</x:v>
      </x:c>
      <x:c r="B5" s="38" t="str">
        <x:v>指标含义</x:v>
      </x:c>
      <x:c r="C5" s="38" t="str">
        <x:v>金额/结果</x:v>
      </x:c>
      <x:c r="D5" s="38" t="str">
        <x:v>元/单位</x:v>
      </x:c>
      <x:c r="E5" s="38" t="str">
        <x:v>来源页</x:v>
      </x:c>
      <x:c r="F5" s="38" t="str">
        <x:v>范围</x:v>
      </x:c>
      <x:c r="G5" s="38" t="str">
        <x:v>期间</x:v>
      </x:c>
      <x:c r="H5" s="38" t="str">
        <x:v>分组</x:v>
      </x:c>
      <x:c r="I5" s="38" t="str">
        <x:v>绝对贡献排名</x:v>
      </x:c>
    </x:row>
    <x:row r="6" ht="23" customHeight="1">
      <x:c r="A6" s="30" t="str">
        <x:v>NP_2024</x:v>
      </x:c>
      <x:c r="B6" s="30" t="str">
        <x:v>净利润</x:v>
      </x:c>
      <x:c r="C6" s="39" t="n">
        <x:f>Inputs!C6</x:f>
        <x:v>520154868.04</x:v>
      </x:c>
      <x:c r="D6" s="30" t="n">
        <x:v>1</x:v>
      </x:c>
      <x:c r="E6" s="30" t="n">
        <x:v>181</x:v>
      </x:c>
      <x:c r="F6" s="30" t="str">
        <x:v>合并</x:v>
      </x:c>
      <x:c r="G6" s="30" t="str">
        <x:v>2024</x:v>
      </x:c>
      <x:c r="H6" s="30" t="str"/>
      <x:c r="I6" s="30"/>
    </x:row>
    <x:row r="7" ht="23" customHeight="1">
      <x:c r="A7" s="30" t="str">
        <x:v>NP_2025</x:v>
      </x:c>
      <x:c r="B7" s="30" t="str">
        <x:v>净利润</x:v>
      </x:c>
      <x:c r="C7" s="39" t="n">
        <x:f>Inputs!D6</x:f>
        <x:v>350495471.77</x:v>
      </x:c>
      <x:c r="D7" s="30" t="n">
        <x:v>1</x:v>
      </x:c>
      <x:c r="E7" s="30" t="n">
        <x:v>181</x:v>
      </x:c>
      <x:c r="F7" s="30" t="str">
        <x:v>合并</x:v>
      </x:c>
      <x:c r="G7" s="30" t="str">
        <x:v>2025</x:v>
      </x:c>
      <x:c r="H7" s="30" t="str"/>
      <x:c r="I7" s="30"/>
    </x:row>
    <x:row r="8" ht="23" customHeight="1">
      <x:c r="A8" s="30" t="str">
        <x:v>IMPAIRMENT_2024</x:v>
      </x:c>
      <x:c r="B8" s="30" t="str">
        <x:v>资产减值准备</x:v>
      </x:c>
      <x:c r="C8" s="39" t="n">
        <x:f>Inputs!C7</x:f>
        <x:v>131702070.69</x:v>
      </x:c>
      <x:c r="D8" s="30" t="n">
        <x:v>1</x:v>
      </x:c>
      <x:c r="E8" s="30" t="n">
        <x:v>181</x:v>
      </x:c>
      <x:c r="F8" s="30" t="str">
        <x:v>合并</x:v>
      </x:c>
      <x:c r="G8" s="30" t="str">
        <x:v>2024</x:v>
      </x:c>
      <x:c r="H8" s="30" t="str"/>
      <x:c r="I8" s="30"/>
    </x:row>
    <x:row r="9" ht="23" customHeight="1">
      <x:c r="A9" s="30" t="str">
        <x:v>IMPAIRMENT_2025</x:v>
      </x:c>
      <x:c r="B9" s="30" t="str">
        <x:v>资产减值准备</x:v>
      </x:c>
      <x:c r="C9" s="39" t="n">
        <x:f>Inputs!D7</x:f>
        <x:v>129150437.47</x:v>
      </x:c>
      <x:c r="D9" s="30" t="n">
        <x:v>1</x:v>
      </x:c>
      <x:c r="E9" s="30" t="n">
        <x:v>181</x:v>
      </x:c>
      <x:c r="F9" s="30" t="str">
        <x:v>合并</x:v>
      </x:c>
      <x:c r="G9" s="30" t="str">
        <x:v>2025</x:v>
      </x:c>
      <x:c r="H9" s="30" t="str"/>
      <x:c r="I9" s="30"/>
    </x:row>
    <x:row r="10" ht="23" customHeight="1">
      <x:c r="A10" s="30" t="str">
        <x:v>FA_DEPR_2024</x:v>
      </x:c>
      <x:c r="B10" s="30" t="str">
        <x:v>固定资产折旧等</x:v>
      </x:c>
      <x:c r="C10" s="39" t="n">
        <x:f>Inputs!C8</x:f>
        <x:v>72162696.54</x:v>
      </x:c>
      <x:c r="D10" s="30" t="n">
        <x:v>1</x:v>
      </x:c>
      <x:c r="E10" s="30" t="n">
        <x:v>181</x:v>
      </x:c>
      <x:c r="F10" s="30" t="str">
        <x:v>合并</x:v>
      </x:c>
      <x:c r="G10" s="30" t="str">
        <x:v>2024</x:v>
      </x:c>
      <x:c r="H10" s="30" t="str"/>
      <x:c r="I10" s="30"/>
    </x:row>
    <x:row r="11" ht="23" customHeight="1">
      <x:c r="A11" s="30" t="str">
        <x:v>FA_DEPR_2025</x:v>
      </x:c>
      <x:c r="B11" s="30" t="str">
        <x:v>固定资产折旧等</x:v>
      </x:c>
      <x:c r="C11" s="39" t="n">
        <x:f>Inputs!D8</x:f>
        <x:v>78252333.78</x:v>
      </x:c>
      <x:c r="D11" s="30" t="n">
        <x:v>1</x:v>
      </x:c>
      <x:c r="E11" s="30" t="n">
        <x:v>181</x:v>
      </x:c>
      <x:c r="F11" s="30" t="str">
        <x:v>合并</x:v>
      </x:c>
      <x:c r="G11" s="30" t="str">
        <x:v>2025</x:v>
      </x:c>
      <x:c r="H11" s="30" t="str"/>
      <x:c r="I11" s="30"/>
    </x:row>
    <x:row r="12" ht="23" customHeight="1">
      <x:c r="A12" s="30" t="str">
        <x:v>ROU_DEPR_2024</x:v>
      </x:c>
      <x:c r="B12" s="30" t="str">
        <x:v>使用权资产折旧</x:v>
      </x:c>
      <x:c r="C12" s="39" t="n">
        <x:f>Inputs!C9</x:f>
        <x:v>107043979.81</x:v>
      </x:c>
      <x:c r="D12" s="30" t="n">
        <x:v>1</x:v>
      </x:c>
      <x:c r="E12" s="30" t="n">
        <x:v>181</x:v>
      </x:c>
      <x:c r="F12" s="30" t="str">
        <x:v>合并</x:v>
      </x:c>
      <x:c r="G12" s="30" t="str">
        <x:v>2024</x:v>
      </x:c>
      <x:c r="H12" s="30" t="str"/>
      <x:c r="I12" s="30"/>
    </x:row>
    <x:row r="13" ht="23" customHeight="1">
      <x:c r="A13" s="30" t="str">
        <x:v>ROU_DEPR_2025</x:v>
      </x:c>
      <x:c r="B13" s="30" t="str">
        <x:v>使用权资产折旧</x:v>
      </x:c>
      <x:c r="C13" s="39" t="n">
        <x:f>Inputs!D9</x:f>
        <x:v>105712967.97</x:v>
      </x:c>
      <x:c r="D13" s="30" t="n">
        <x:v>1</x:v>
      </x:c>
      <x:c r="E13" s="30" t="n">
        <x:v>181</x:v>
      </x:c>
      <x:c r="F13" s="30" t="str">
        <x:v>合并</x:v>
      </x:c>
      <x:c r="G13" s="30" t="str">
        <x:v>2025</x:v>
      </x:c>
      <x:c r="H13" s="30" t="str"/>
      <x:c r="I13" s="30"/>
    </x:row>
    <x:row r="14" ht="23" customHeight="1">
      <x:c r="A14" s="30" t="str">
        <x:v>INTANGIBLE_2024</x:v>
      </x:c>
      <x:c r="B14" s="30" t="str">
        <x:v>无形资产摊销</x:v>
      </x:c>
      <x:c r="C14" s="39" t="n">
        <x:f>Inputs!C10</x:f>
        <x:v>17002427.47</x:v>
      </x:c>
      <x:c r="D14" s="30" t="n">
        <x:v>1</x:v>
      </x:c>
      <x:c r="E14" s="30" t="n">
        <x:v>181</x:v>
      </x:c>
      <x:c r="F14" s="30" t="str">
        <x:v>合并</x:v>
      </x:c>
      <x:c r="G14" s="30" t="str">
        <x:v>2024</x:v>
      </x:c>
      <x:c r="H14" s="30" t="str"/>
      <x:c r="I14" s="30"/>
    </x:row>
    <x:row r="15" ht="23" customHeight="1">
      <x:c r="A15" s="30" t="str">
        <x:v>INTANGIBLE_2025</x:v>
      </x:c>
      <x:c r="B15" s="30" t="str">
        <x:v>无形资产摊销</x:v>
      </x:c>
      <x:c r="C15" s="39" t="n">
        <x:f>Inputs!D10</x:f>
        <x:v>45481218.89</x:v>
      </x:c>
      <x:c r="D15" s="30" t="n">
        <x:v>1</x:v>
      </x:c>
      <x:c r="E15" s="30" t="n">
        <x:v>181</x:v>
      </x:c>
      <x:c r="F15" s="30" t="str">
        <x:v>合并</x:v>
      </x:c>
      <x:c r="G15" s="30" t="str">
        <x:v>2025</x:v>
      </x:c>
      <x:c r="H15" s="30" t="str"/>
      <x:c r="I15" s="30"/>
    </x:row>
    <x:row r="16" ht="23" customHeight="1">
      <x:c r="A16" s="30" t="str">
        <x:v>LT_AMORT_2024</x:v>
      </x:c>
      <x:c r="B16" s="30" t="str">
        <x:v>长期待摊费用摊销</x:v>
      </x:c>
      <x:c r="C16" s="39" t="n">
        <x:f>Inputs!C11</x:f>
        <x:v>79542654.39</x:v>
      </x:c>
      <x:c r="D16" s="30" t="n">
        <x:v>1</x:v>
      </x:c>
      <x:c r="E16" s="30" t="n">
        <x:v>181</x:v>
      </x:c>
      <x:c r="F16" s="30" t="str">
        <x:v>合并</x:v>
      </x:c>
      <x:c r="G16" s="30" t="str">
        <x:v>2024</x:v>
      </x:c>
      <x:c r="H16" s="30" t="str"/>
      <x:c r="I16" s="30"/>
    </x:row>
    <x:row r="17" ht="23" customHeight="1">
      <x:c r="A17" s="30" t="str">
        <x:v>LT_AMORT_2025</x:v>
      </x:c>
      <x:c r="B17" s="30" t="str">
        <x:v>长期待摊费用摊销</x:v>
      </x:c>
      <x:c r="C17" s="39" t="n">
        <x:f>Inputs!D11</x:f>
        <x:v>98923213.05</x:v>
      </x:c>
      <x:c r="D17" s="30" t="n">
        <x:v>1</x:v>
      </x:c>
      <x:c r="E17" s="30" t="n">
        <x:v>181</x:v>
      </x:c>
      <x:c r="F17" s="30" t="str">
        <x:v>合并</x:v>
      </x:c>
      <x:c r="G17" s="30" t="str">
        <x:v>2025</x:v>
      </x:c>
      <x:c r="H17" s="30" t="str"/>
      <x:c r="I17" s="30"/>
    </x:row>
    <x:row r="18" ht="23" customHeight="1">
      <x:c r="A18" s="30" t="str">
        <x:v>DISPOSAL_2024</x:v>
      </x:c>
      <x:c r="B18" s="30" t="str">
        <x:v>处置长期资产损失（收益负列）</x:v>
      </x:c>
      <x:c r="C18" s="39" t="n">
        <x:f>Inputs!C12</x:f>
        <x:v>13123778.75</x:v>
      </x:c>
      <x:c r="D18" s="30" t="n">
        <x:v>1</x:v>
      </x:c>
      <x:c r="E18" s="30" t="n">
        <x:v>181</x:v>
      </x:c>
      <x:c r="F18" s="30" t="str">
        <x:v>合并</x:v>
      </x:c>
      <x:c r="G18" s="30" t="str">
        <x:v>2024</x:v>
      </x:c>
      <x:c r="H18" s="30" t="str"/>
      <x:c r="I18" s="30"/>
    </x:row>
    <x:row r="19" ht="23" customHeight="1">
      <x:c r="A19" s="30" t="str">
        <x:v>DISPOSAL_2025</x:v>
      </x:c>
      <x:c r="B19" s="30" t="str">
        <x:v>处置长期资产损失（收益负列）</x:v>
      </x:c>
      <x:c r="C19" s="39" t="n">
        <x:f>Inputs!D12</x:f>
        <x:v>-1424553.65</x:v>
      </x:c>
      <x:c r="D19" s="30" t="n">
        <x:v>1</x:v>
      </x:c>
      <x:c r="E19" s="30" t="n">
        <x:v>181</x:v>
      </x:c>
      <x:c r="F19" s="30" t="str">
        <x:v>合并</x:v>
      </x:c>
      <x:c r="G19" s="30" t="str">
        <x:v>2025</x:v>
      </x:c>
      <x:c r="H19" s="30" t="str"/>
      <x:c r="I19" s="30"/>
    </x:row>
    <x:row r="20" ht="23" customHeight="1">
      <x:c r="A20" s="30" t="str">
        <x:v>SCRAP_2024</x:v>
      </x:c>
      <x:c r="B20" s="30" t="str">
        <x:v>固定资产报废损失</x:v>
      </x:c>
      <x:c r="C20" s="39" t="n">
        <x:f>Inputs!C13</x:f>
        <x:v>450932.08</x:v>
      </x:c>
      <x:c r="D20" s="30" t="n">
        <x:v>1</x:v>
      </x:c>
      <x:c r="E20" s="30" t="n">
        <x:v>181</x:v>
      </x:c>
      <x:c r="F20" s="30" t="str">
        <x:v>合并</x:v>
      </x:c>
      <x:c r="G20" s="30" t="str">
        <x:v>2024</x:v>
      </x:c>
      <x:c r="H20" s="30" t="str"/>
      <x:c r="I20" s="30"/>
    </x:row>
    <x:row r="21" ht="23" customHeight="1">
      <x:c r="A21" s="30" t="str">
        <x:v>SCRAP_2025</x:v>
      </x:c>
      <x:c r="B21" s="30" t="str">
        <x:v>固定资产报废损失</x:v>
      </x:c>
      <x:c r="C21" s="39" t="n">
        <x:f>Inputs!D13</x:f>
        <x:v>13839675.54</x:v>
      </x:c>
      <x:c r="D21" s="30" t="n">
        <x:v>1</x:v>
      </x:c>
      <x:c r="E21" s="30" t="n">
        <x:v>181</x:v>
      </x:c>
      <x:c r="F21" s="30" t="str">
        <x:v>合并</x:v>
      </x:c>
      <x:c r="G21" s="30" t="str">
        <x:v>2025</x:v>
      </x:c>
      <x:c r="H21" s="30" t="str"/>
      <x:c r="I21" s="30"/>
    </x:row>
    <x:row r="22" ht="23" customHeight="1">
      <x:c r="A22" s="30" t="str">
        <x:v>FV_2024</x:v>
      </x:c>
      <x:c r="B22" s="30" t="str">
        <x:v>公允价值变动损失</x:v>
      </x:c>
      <x:c r="C22" s="39" t="n">
        <x:f>Inputs!C14</x:f>
        <x:v>14400320.94</x:v>
      </x:c>
      <x:c r="D22" s="30" t="n">
        <x:v>1</x:v>
      </x:c>
      <x:c r="E22" s="30" t="n">
        <x:v>181</x:v>
      </x:c>
      <x:c r="F22" s="30" t="str">
        <x:v>合并</x:v>
      </x:c>
      <x:c r="G22" s="30" t="str">
        <x:v>2024</x:v>
      </x:c>
      <x:c r="H22" s="30" t="str"/>
      <x:c r="I22" s="30"/>
    </x:row>
    <x:row r="23" ht="23" customHeight="1">
      <x:c r="A23" s="30" t="str">
        <x:v>FV_2025</x:v>
      </x:c>
      <x:c r="B23" s="30" t="str">
        <x:v>公允价值变动损失</x:v>
      </x:c>
      <x:c r="C23" s="39" t="n">
        <x:f>Inputs!D14</x:f>
        <x:v>158635.19</x:v>
      </x:c>
      <x:c r="D23" s="30" t="n">
        <x:v>1</x:v>
      </x:c>
      <x:c r="E23" s="30" t="n">
        <x:v>181</x:v>
      </x:c>
      <x:c r="F23" s="30" t="str">
        <x:v>合并</x:v>
      </x:c>
      <x:c r="G23" s="30" t="str">
        <x:v>2025</x:v>
      </x:c>
      <x:c r="H23" s="30" t="str"/>
      <x:c r="I23" s="30"/>
    </x:row>
    <x:row r="24" ht="23" customHeight="1">
      <x:c r="A24" s="30" t="str">
        <x:v>FINANCE_2024</x:v>
      </x:c>
      <x:c r="B24" s="30" t="str">
        <x:v>财务费用（收益负列）</x:v>
      </x:c>
      <x:c r="C24" s="39" t="n">
        <x:f>Inputs!C15</x:f>
        <x:v>11105993.98</x:v>
      </x:c>
      <x:c r="D24" s="30" t="n">
        <x:v>1</x:v>
      </x:c>
      <x:c r="E24" s="30" t="n">
        <x:v>181</x:v>
      </x:c>
      <x:c r="F24" s="30" t="str">
        <x:v>合并</x:v>
      </x:c>
      <x:c r="G24" s="30" t="str">
        <x:v>2024</x:v>
      </x:c>
      <x:c r="H24" s="30" t="str"/>
      <x:c r="I24" s="30"/>
    </x:row>
    <x:row r="25" ht="23" customHeight="1">
      <x:c r="A25" s="30" t="str">
        <x:v>FINANCE_2025</x:v>
      </x:c>
      <x:c r="B25" s="30" t="str">
        <x:v>财务费用（收益负列）</x:v>
      </x:c>
      <x:c r="C25" s="39" t="n">
        <x:f>Inputs!D15</x:f>
        <x:v>10297740.94</x:v>
      </x:c>
      <x:c r="D25" s="30" t="n">
        <x:v>1</x:v>
      </x:c>
      <x:c r="E25" s="30" t="n">
        <x:v>181</x:v>
      </x:c>
      <x:c r="F25" s="30" t="str">
        <x:v>合并</x:v>
      </x:c>
      <x:c r="G25" s="30" t="str">
        <x:v>2025</x:v>
      </x:c>
      <x:c r="H25" s="30" t="str"/>
      <x:c r="I25" s="30"/>
    </x:row>
    <x:row r="26" ht="23" customHeight="1">
      <x:c r="A26" s="30" t="str">
        <x:v>INVESTMENT_2024</x:v>
      </x:c>
      <x:c r="B26" s="30" t="str">
        <x:v>投资损失（收益负列）</x:v>
      </x:c>
      <x:c r="C26" s="39" t="n">
        <x:f>Inputs!C16</x:f>
        <x:v>-10504657.47</x:v>
      </x:c>
      <x:c r="D26" s="30" t="n">
        <x:v>1</x:v>
      </x:c>
      <x:c r="E26" s="30" t="n">
        <x:v>181</x:v>
      </x:c>
      <x:c r="F26" s="30" t="str">
        <x:v>合并</x:v>
      </x:c>
      <x:c r="G26" s="30" t="str">
        <x:v>2024</x:v>
      </x:c>
      <x:c r="H26" s="30" t="str"/>
      <x:c r="I26" s="30"/>
    </x:row>
    <x:row r="27" ht="23" customHeight="1">
      <x:c r="A27" s="30" t="str">
        <x:v>INVESTMENT_2025</x:v>
      </x:c>
      <x:c r="B27" s="30" t="str">
        <x:v>投资损失（收益负列）</x:v>
      </x:c>
      <x:c r="C27" s="39" t="n">
        <x:f>Inputs!D16</x:f>
        <x:v>-17509099.67</x:v>
      </x:c>
      <x:c r="D27" s="30" t="n">
        <x:v>1</x:v>
      </x:c>
      <x:c r="E27" s="30" t="n">
        <x:v>181</x:v>
      </x:c>
      <x:c r="F27" s="30" t="str">
        <x:v>合并</x:v>
      </x:c>
      <x:c r="G27" s="30" t="str">
        <x:v>2025</x:v>
      </x:c>
      <x:c r="H27" s="30" t="str"/>
      <x:c r="I27" s="30"/>
    </x:row>
    <x:row r="28" ht="23" customHeight="1">
      <x:c r="A28" s="30" t="str">
        <x:v>DTA_2024</x:v>
      </x:c>
      <x:c r="B28" s="30" t="str">
        <x:v>递延所得税资产减少</x:v>
      </x:c>
      <x:c r="C28" s="39" t="n">
        <x:f>Inputs!C17</x:f>
        <x:v>4532000.79</x:v>
      </x:c>
      <x:c r="D28" s="30" t="n">
        <x:v>1</x:v>
      </x:c>
      <x:c r="E28" s="30" t="n">
        <x:v>181</x:v>
      </x:c>
      <x:c r="F28" s="30" t="str">
        <x:v>合并</x:v>
      </x:c>
      <x:c r="G28" s="30" t="str">
        <x:v>2024</x:v>
      </x:c>
      <x:c r="H28" s="30" t="str"/>
      <x:c r="I28" s="30"/>
    </x:row>
    <x:row r="29" ht="23" customHeight="1">
      <x:c r="A29" s="30" t="str">
        <x:v>DTA_2025</x:v>
      </x:c>
      <x:c r="B29" s="30" t="str">
        <x:v>递延所得税资产减少</x:v>
      </x:c>
      <x:c r="C29" s="39" t="n">
        <x:f>Inputs!D17</x:f>
        <x:v>-12574202.23</x:v>
      </x:c>
      <x:c r="D29" s="30" t="n">
        <x:v>1</x:v>
      </x:c>
      <x:c r="E29" s="30" t="n">
        <x:v>181</x:v>
      </x:c>
      <x:c r="F29" s="30" t="str">
        <x:v>合并</x:v>
      </x:c>
      <x:c r="G29" s="30" t="str">
        <x:v>2025</x:v>
      </x:c>
      <x:c r="H29" s="30" t="str"/>
      <x:c r="I29" s="30"/>
    </x:row>
    <x:row r="30" ht="23" customHeight="1">
      <x:c r="A30" s="30" t="str">
        <x:v>DTL_2024</x:v>
      </x:c>
      <x:c r="B30" s="30" t="str">
        <x:v>递延所得税负债增加</x:v>
      </x:c>
      <x:c r="C30" s="39" t="n">
        <x:f>Inputs!C18</x:f>
        <x:v>-1763159.1</x:v>
      </x:c>
      <x:c r="D30" s="30" t="n">
        <x:v>1</x:v>
      </x:c>
      <x:c r="E30" s="30" t="n">
        <x:v>181</x:v>
      </x:c>
      <x:c r="F30" s="30" t="str">
        <x:v>合并</x:v>
      </x:c>
      <x:c r="G30" s="30" t="str">
        <x:v>2024</x:v>
      </x:c>
      <x:c r="H30" s="30" t="str"/>
      <x:c r="I30" s="30"/>
    </x:row>
    <x:row r="31" ht="23" customHeight="1">
      <x:c r="A31" s="30" t="str">
        <x:v>DTL_2025</x:v>
      </x:c>
      <x:c r="B31" s="30" t="str">
        <x:v>递延所得税负债增加</x:v>
      </x:c>
      <x:c r="C31" s="39" t="n">
        <x:f>Inputs!D18</x:f>
        <x:v>-183193.86</x:v>
      </x:c>
      <x:c r="D31" s="30" t="n">
        <x:v>1</x:v>
      </x:c>
      <x:c r="E31" s="30" t="n">
        <x:v>181</x:v>
      </x:c>
      <x:c r="F31" s="30" t="str">
        <x:v>合并</x:v>
      </x:c>
      <x:c r="G31" s="30" t="str">
        <x:v>2025</x:v>
      </x:c>
      <x:c r="H31" s="30" t="str"/>
      <x:c r="I31" s="30"/>
    </x:row>
    <x:row r="32" ht="23" customHeight="1">
      <x:c r="A32" s="30" t="str">
        <x:v>INVENTORY_CF_2024</x:v>
      </x:c>
      <x:c r="B32" s="30" t="str">
        <x:v>存货的减少</x:v>
      </x:c>
      <x:c r="C32" s="39" t="n">
        <x:f>Inputs!C19</x:f>
        <x:v>-148190301.59</x:v>
      </x:c>
      <x:c r="D32" s="30" t="n">
        <x:v>1</x:v>
      </x:c>
      <x:c r="E32" s="30" t="n">
        <x:v>181</x:v>
      </x:c>
      <x:c r="F32" s="30" t="str">
        <x:v>合并</x:v>
      </x:c>
      <x:c r="G32" s="30" t="str">
        <x:v>2024</x:v>
      </x:c>
      <x:c r="H32" s="30" t="str"/>
      <x:c r="I32" s="30"/>
    </x:row>
    <x:row r="33" ht="23" customHeight="1">
      <x:c r="A33" s="30" t="str">
        <x:v>INVENTORY_CF_2025</x:v>
      </x:c>
      <x:c r="B33" s="30" t="str">
        <x:v>存货的减少</x:v>
      </x:c>
      <x:c r="C33" s="39" t="n">
        <x:f>Inputs!D19</x:f>
        <x:v>-166428589.3</x:v>
      </x:c>
      <x:c r="D33" s="30" t="n">
        <x:v>1</x:v>
      </x:c>
      <x:c r="E33" s="30" t="n">
        <x:v>181</x:v>
      </x:c>
      <x:c r="F33" s="30" t="str">
        <x:v>合并</x:v>
      </x:c>
      <x:c r="G33" s="30" t="str">
        <x:v>2025</x:v>
      </x:c>
      <x:c r="H33" s="30" t="str"/>
      <x:c r="I33" s="30"/>
    </x:row>
    <x:row r="34" ht="23" customHeight="1">
      <x:c r="A34" s="30" t="str">
        <x:v>RECEIVABLE_CF_2024</x:v>
      </x:c>
      <x:c r="B34" s="30" t="str">
        <x:v>经营性应收项目的减少</x:v>
      </x:c>
      <x:c r="C34" s="39" t="n">
        <x:f>Inputs!C20</x:f>
        <x:v>-290252934.4</x:v>
      </x:c>
      <x:c r="D34" s="30" t="n">
        <x:v>1</x:v>
      </x:c>
      <x:c r="E34" s="30" t="n">
        <x:v>181</x:v>
      </x:c>
      <x:c r="F34" s="30" t="str">
        <x:v>合并</x:v>
      </x:c>
      <x:c r="G34" s="30" t="str">
        <x:v>2024</x:v>
      </x:c>
      <x:c r="H34" s="30" t="str"/>
      <x:c r="I34" s="30"/>
    </x:row>
    <x:row r="35" ht="23" customHeight="1">
      <x:c r="A35" s="30" t="str">
        <x:v>RECEIVABLE_CF_2025</x:v>
      </x:c>
      <x:c r="B35" s="30" t="str">
        <x:v>经营性应收项目的减少</x:v>
      </x:c>
      <x:c r="C35" s="39" t="n">
        <x:f>Inputs!D20</x:f>
        <x:v>17438639.45</x:v>
      </x:c>
      <x:c r="D35" s="30" t="n">
        <x:v>1</x:v>
      </x:c>
      <x:c r="E35" s="30" t="n">
        <x:v>181</x:v>
      </x:c>
      <x:c r="F35" s="30" t="str">
        <x:v>合并</x:v>
      </x:c>
      <x:c r="G35" s="30" t="str">
        <x:v>2025</x:v>
      </x:c>
      <x:c r="H35" s="30" t="str"/>
      <x:c r="I35" s="30"/>
    </x:row>
    <x:row r="36" ht="23" customHeight="1">
      <x:c r="A36" s="30" t="str">
        <x:v>PAYABLE_CF_2024</x:v>
      </x:c>
      <x:c r="B36" s="30" t="str">
        <x:v>经营性应付项目的增加</x:v>
      </x:c>
      <x:c r="C36" s="39" t="n">
        <x:f>Inputs!C21</x:f>
        <x:v>181195859.79</x:v>
      </x:c>
      <x:c r="D36" s="30" t="n">
        <x:v>1</x:v>
      </x:c>
      <x:c r="E36" s="30" t="n">
        <x:v>181</x:v>
      </x:c>
      <x:c r="F36" s="30" t="str">
        <x:v>合并</x:v>
      </x:c>
      <x:c r="G36" s="30" t="str">
        <x:v>2024</x:v>
      </x:c>
      <x:c r="H36" s="30" t="str"/>
      <x:c r="I36" s="30"/>
    </x:row>
    <x:row r="37" ht="23" customHeight="1">
      <x:c r="A37" s="30" t="str">
        <x:v>PAYABLE_CF_2025</x:v>
      </x:c>
      <x:c r="B37" s="30" t="str">
        <x:v>经营性应付项目的增加</x:v>
      </x:c>
      <x:c r="C37" s="39" t="n">
        <x:f>Inputs!D21</x:f>
        <x:v>-15669754.68</x:v>
      </x:c>
      <x:c r="D37" s="30" t="n">
        <x:v>1</x:v>
      </x:c>
      <x:c r="E37" s="30" t="n">
        <x:v>181</x:v>
      </x:c>
      <x:c r="F37" s="30" t="str">
        <x:v>合并</x:v>
      </x:c>
      <x:c r="G37" s="30" t="str">
        <x:v>2025</x:v>
      </x:c>
      <x:c r="H37" s="30" t="str"/>
      <x:c r="I37" s="30"/>
    </x:row>
    <x:row r="38" ht="23" customHeight="1">
      <x:c r="A38" s="30" t="str">
        <x:v>OTHER_2024</x:v>
      </x:c>
      <x:c r="B38" s="30" t="str">
        <x:v>其他</x:v>
      </x:c>
      <x:c r="C38" s="39" t="n">
        <x:f>Inputs!C22</x:f>
        <x:v>524039.16</x:v>
      </x:c>
      <x:c r="D38" s="30" t="n">
        <x:v>1</x:v>
      </x:c>
      <x:c r="E38" s="30" t="n">
        <x:v>181</x:v>
      </x:c>
      <x:c r="F38" s="30" t="str">
        <x:v>合并</x:v>
      </x:c>
      <x:c r="G38" s="30" t="str">
        <x:v>2024</x:v>
      </x:c>
      <x:c r="H38" s="30" t="str"/>
      <x:c r="I38" s="30"/>
    </x:row>
    <x:row r="39" ht="23" customHeight="1">
      <x:c r="A39" s="30" t="str">
        <x:v>OTHER_2025</x:v>
      </x:c>
      <x:c r="B39" s="30" t="str">
        <x:v>其他</x:v>
      </x:c>
      <x:c r="C39" s="39" t="n">
        <x:f>Inputs!D22</x:f>
        <x:v>524039.16</x:v>
      </x:c>
      <x:c r="D39" s="30" t="n">
        <x:v>1</x:v>
      </x:c>
      <x:c r="E39" s="30" t="n">
        <x:v>181</x:v>
      </x:c>
      <x:c r="F39" s="30" t="str">
        <x:v>合并</x:v>
      </x:c>
      <x:c r="G39" s="30" t="str">
        <x:v>2025</x:v>
      </x:c>
      <x:c r="H39" s="30" t="str"/>
      <x:c r="I39" s="30"/>
    </x:row>
    <x:row r="40" ht="23" customHeight="1">
      <x:c r="A40" s="30" t="str">
        <x:v>CFO_2024</x:v>
      </x:c>
      <x:c r="B40" s="30" t="str">
        <x:v>披露经营活动现金流净额</x:v>
      </x:c>
      <x:c r="C40" s="39" t="n">
        <x:f>Inputs!C23</x:f>
        <x:v>702230569.87</x:v>
      </x:c>
      <x:c r="D40" s="30" t="n">
        <x:v>1</x:v>
      </x:c>
      <x:c r="E40" s="30" t="n">
        <x:v>181</x:v>
      </x:c>
      <x:c r="F40" s="30" t="str">
        <x:v>合并</x:v>
      </x:c>
      <x:c r="G40" s="30" t="str">
        <x:v>2024</x:v>
      </x:c>
      <x:c r="H40" s="30" t="str"/>
      <x:c r="I40" s="30"/>
    </x:row>
    <x:row r="41" ht="23" customHeight="1">
      <x:c r="A41" s="30" t="str">
        <x:v>CFO_2025</x:v>
      </x:c>
      <x:c r="B41" s="30" t="str">
        <x:v>披露经营活动现金流净额</x:v>
      </x:c>
      <x:c r="C41" s="39" t="n">
        <x:f>Inputs!D23</x:f>
        <x:v>636484979.82</x:v>
      </x:c>
      <x:c r="D41" s="30" t="n">
        <x:v>1</x:v>
      </x:c>
      <x:c r="E41" s="30" t="n">
        <x:v>181</x:v>
      </x:c>
      <x:c r="F41" s="30" t="str">
        <x:v>合并</x:v>
      </x:c>
      <x:c r="G41" s="30" t="str">
        <x:v>2025</x:v>
      </x:c>
      <x:c r="H41" s="30" t="str"/>
      <x:c r="I41" s="30"/>
    </x:row>
    <x:row r="42" ht="23" customHeight="1">
      <x:c r="A42" s="30" t="str">
        <x:v>MAIN_NP_2024</x:v>
      </x:c>
      <x:c r="B42" s="30" t="str">
        <x:v>合并利润表净利润</x:v>
      </x:c>
      <x:c r="C42" s="39" t="n">
        <x:f>Inputs!C24</x:f>
        <x:v>520154868.04</x:v>
      </x:c>
      <x:c r="D42" s="30" t="n">
        <x:v>1</x:v>
      </x:c>
      <x:c r="E42" s="30" t="n">
        <x:v>82</x:v>
      </x:c>
      <x:c r="F42" s="30" t="str">
        <x:v>合并</x:v>
      </x:c>
      <x:c r="G42" s="30" t="str">
        <x:v>2024</x:v>
      </x:c>
      <x:c r="H42" s="30" t="str"/>
      <x:c r="I42" s="30"/>
    </x:row>
    <x:row r="43" ht="23" customHeight="1">
      <x:c r="A43" s="30" t="str">
        <x:v>MAIN_NP_2025</x:v>
      </x:c>
      <x:c r="B43" s="30" t="str">
        <x:v>合并利润表净利润</x:v>
      </x:c>
      <x:c r="C43" s="39" t="n">
        <x:f>Inputs!D24</x:f>
        <x:v>350495471.77</x:v>
      </x:c>
      <x:c r="D43" s="30" t="n">
        <x:v>1</x:v>
      </x:c>
      <x:c r="E43" s="30" t="n">
        <x:v>82</x:v>
      </x:c>
      <x:c r="F43" s="30" t="str">
        <x:v>合并</x:v>
      </x:c>
      <x:c r="G43" s="30" t="str">
        <x:v>2025</x:v>
      </x:c>
      <x:c r="H43" s="30" t="str"/>
      <x:c r="I43" s="30"/>
    </x:row>
    <x:row r="44" ht="23" customHeight="1">
      <x:c r="A44" s="30" t="str">
        <x:v>PARENT_NP_2024</x:v>
      </x:c>
      <x:c r="B44" s="30" t="str">
        <x:v>归属于母公司股东的净利润</x:v>
      </x:c>
      <x:c r="C44" s="39" t="n">
        <x:f>Inputs!C25</x:f>
        <x:v>494960049.58</x:v>
      </x:c>
      <x:c r="D44" s="30" t="n">
        <x:v>1</x:v>
      </x:c>
      <x:c r="E44" s="30" t="n">
        <x:v>82</x:v>
      </x:c>
      <x:c r="F44" s="30" t="str">
        <x:v>合并</x:v>
      </x:c>
      <x:c r="G44" s="30" t="str">
        <x:v>2024</x:v>
      </x:c>
      <x:c r="H44" s="30" t="str"/>
      <x:c r="I44" s="30"/>
    </x:row>
    <x:row r="45" ht="23" customHeight="1">
      <x:c r="A45" s="30" t="str">
        <x:v>PARENT_NP_2025</x:v>
      </x:c>
      <x:c r="B45" s="30" t="str">
        <x:v>归属于母公司股东的净利润</x:v>
      </x:c>
      <x:c r="C45" s="39" t="n">
        <x:f>Inputs!D25</x:f>
        <x:v>341747762.73</x:v>
      </x:c>
      <x:c r="D45" s="30" t="n">
        <x:v>1</x:v>
      </x:c>
      <x:c r="E45" s="30" t="n">
        <x:v>82</x:v>
      </x:c>
      <x:c r="F45" s="30" t="str">
        <x:v>合并</x:v>
      </x:c>
      <x:c r="G45" s="30" t="str">
        <x:v>2025</x:v>
      </x:c>
      <x:c r="H45" s="30" t="str"/>
      <x:c r="I45" s="30"/>
    </x:row>
    <x:row r="46" ht="23" customHeight="1">
      <x:c r="A46" s="30" t="str">
        <x:v>MINORITY_NP_2024</x:v>
      </x:c>
      <x:c r="B46" s="30" t="str">
        <x:v>少数股东损益</x:v>
      </x:c>
      <x:c r="C46" s="39" t="n">
        <x:f>Inputs!C26</x:f>
        <x:v>25194818.46</x:v>
      </x:c>
      <x:c r="D46" s="30" t="n">
        <x:v>1</x:v>
      </x:c>
      <x:c r="E46" s="30" t="n">
        <x:v>82</x:v>
      </x:c>
      <x:c r="F46" s="30" t="str">
        <x:v>合并</x:v>
      </x:c>
      <x:c r="G46" s="30" t="str">
        <x:v>2024</x:v>
      </x:c>
      <x:c r="H46" s="30" t="str"/>
      <x:c r="I46" s="30"/>
    </x:row>
    <x:row r="47" ht="23" customHeight="1">
      <x:c r="A47" s="30" t="str">
        <x:v>MINORITY_NP_2025</x:v>
      </x:c>
      <x:c r="B47" s="30" t="str">
        <x:v>少数股东损益</x:v>
      </x:c>
      <x:c r="C47" s="39" t="n">
        <x:f>Inputs!D26</x:f>
        <x:v>8747709.04</x:v>
      </x:c>
      <x:c r="D47" s="30" t="n">
        <x:v>1</x:v>
      </x:c>
      <x:c r="E47" s="30" t="n">
        <x:v>82</x:v>
      </x:c>
      <x:c r="F47" s="30" t="str">
        <x:v>合并</x:v>
      </x:c>
      <x:c r="G47" s="30" t="str">
        <x:v>2025</x:v>
      </x:c>
      <x:c r="H47" s="30" t="str"/>
      <x:c r="I47" s="30"/>
    </x:row>
    <x:row r="48" ht="23" customHeight="1">
      <x:c r="A48" s="30" t="str">
        <x:v>CF_IN_2024</x:v>
      </x:c>
      <x:c r="B48" s="30" t="str">
        <x:v>经营活动现金流入小计</x:v>
      </x:c>
      <x:c r="C48" s="39" t="n">
        <x:f>Inputs!C27</x:f>
        <x:v>5263911054.64</x:v>
      </x:c>
      <x:c r="D48" s="30" t="n">
        <x:v>1</x:v>
      </x:c>
      <x:c r="E48" s="30" t="n">
        <x:v>85</x:v>
      </x:c>
      <x:c r="F48" s="30" t="str">
        <x:v>合并</x:v>
      </x:c>
      <x:c r="G48" s="30" t="str">
        <x:v>2024</x:v>
      </x:c>
      <x:c r="H48" s="30" t="str"/>
      <x:c r="I48" s="30"/>
    </x:row>
    <x:row r="49" ht="23" customHeight="1">
      <x:c r="A49" s="30" t="str">
        <x:v>CF_IN_2025</x:v>
      </x:c>
      <x:c r="B49" s="30" t="str">
        <x:v>经营活动现金流入小计</x:v>
      </x:c>
      <x:c r="C49" s="39" t="n">
        <x:f>Inputs!D27</x:f>
        <x:v>5287970882.21</x:v>
      </x:c>
      <x:c r="D49" s="30" t="n">
        <x:v>1</x:v>
      </x:c>
      <x:c r="E49" s="30" t="n">
        <x:v>85</x:v>
      </x:c>
      <x:c r="F49" s="30" t="str">
        <x:v>合并</x:v>
      </x:c>
      <x:c r="G49" s="30" t="str">
        <x:v>2025</x:v>
      </x:c>
      <x:c r="H49" s="30" t="str"/>
      <x:c r="I49" s="30"/>
    </x:row>
    <x:row r="50" ht="23" customHeight="1">
      <x:c r="A50" s="30" t="str">
        <x:v>CF_OUT_2024</x:v>
      </x:c>
      <x:c r="B50" s="30" t="str">
        <x:v>经营活动现金流出小计</x:v>
      </x:c>
      <x:c r="C50" s="39" t="n">
        <x:f>Inputs!C28</x:f>
        <x:v>4561680484.77</x:v>
      </x:c>
      <x:c r="D50" s="30" t="n">
        <x:v>1</x:v>
      </x:c>
      <x:c r="E50" s="30" t="n">
        <x:v>85</x:v>
      </x:c>
      <x:c r="F50" s="30" t="str">
        <x:v>合并</x:v>
      </x:c>
      <x:c r="G50" s="30" t="str">
        <x:v>2024</x:v>
      </x:c>
      <x:c r="H50" s="30" t="str"/>
      <x:c r="I50" s="30"/>
    </x:row>
    <x:row r="51" ht="23" customHeight="1">
      <x:c r="A51" s="30" t="str">
        <x:v>CF_OUT_2025</x:v>
      </x:c>
      <x:c r="B51" s="30" t="str">
        <x:v>经营活动现金流出小计</x:v>
      </x:c>
      <x:c r="C51" s="39" t="n">
        <x:f>Inputs!D28</x:f>
        <x:v>4651485902.39</x:v>
      </x:c>
      <x:c r="D51" s="30" t="n">
        <x:v>1</x:v>
      </x:c>
      <x:c r="E51" s="30" t="n">
        <x:v>85</x:v>
      </x:c>
      <x:c r="F51" s="30" t="str">
        <x:v>合并</x:v>
      </x:c>
      <x:c r="G51" s="30" t="str">
        <x:v>2025</x:v>
      </x:c>
      <x:c r="H51" s="30" t="str"/>
      <x:c r="I51" s="30"/>
    </x:row>
    <x:row r="52" ht="23" customHeight="1">
      <x:c r="A52" s="30" t="str">
        <x:v>INV_GROSS_2024</x:v>
      </x:c>
      <x:c r="B52" s="30" t="str">
        <x:v>存货账面余额</x:v>
      </x:c>
      <x:c r="C52" s="39" t="n">
        <x:f>Inputs!C29</x:f>
        <x:v>1334685879.29</x:v>
      </x:c>
      <x:c r="D52" s="30" t="n">
        <x:v>1</x:v>
      </x:c>
      <x:c r="E52" s="30" t="n">
        <x:v>140</x:v>
      </x:c>
      <x:c r="F52" s="30" t="str">
        <x:v>合并</x:v>
      </x:c>
      <x:c r="G52" s="30" t="str">
        <x:v>2024</x:v>
      </x:c>
      <x:c r="H52" s="30" t="str"/>
      <x:c r="I52" s="30"/>
    </x:row>
    <x:row r="53" ht="23" customHeight="1">
      <x:c r="A53" s="30" t="str">
        <x:v>INV_GROSS_2025</x:v>
      </x:c>
      <x:c r="B53" s="30" t="str">
        <x:v>存货账面余额</x:v>
      </x:c>
      <x:c r="C53" s="39" t="n">
        <x:f>Inputs!D29</x:f>
        <x:v>1435277949.76</x:v>
      </x:c>
      <x:c r="D53" s="30" t="n">
        <x:v>1</x:v>
      </x:c>
      <x:c r="E53" s="30" t="n">
        <x:v>140</x:v>
      </x:c>
      <x:c r="F53" s="30" t="str">
        <x:v>合并</x:v>
      </x:c>
      <x:c r="G53" s="30" t="str">
        <x:v>2025</x:v>
      </x:c>
      <x:c r="H53" s="30" t="str"/>
      <x:c r="I53" s="30"/>
    </x:row>
    <x:row r="54" ht="23" customHeight="1">
      <x:c r="A54" s="30" t="str">
        <x:v>INV_ALLOW_2024</x:v>
      </x:c>
      <x:c r="B54" s="30" t="str">
        <x:v>存货跌价准备</x:v>
      </x:c>
      <x:c r="C54" s="39" t="n">
        <x:f>Inputs!C30</x:f>
        <x:v>129891177.58</x:v>
      </x:c>
      <x:c r="D54" s="30" t="n">
        <x:v>1</x:v>
      </x:c>
      <x:c r="E54" s="30" t="n">
        <x:v>140</x:v>
      </x:c>
      <x:c r="F54" s="30" t="str">
        <x:v>合并</x:v>
      </x:c>
      <x:c r="G54" s="30" t="str">
        <x:v>2024</x:v>
      </x:c>
      <x:c r="H54" s="30" t="str"/>
      <x:c r="I54" s="30"/>
    </x:row>
    <x:row r="55" ht="23" customHeight="1">
      <x:c r="A55" s="30" t="str">
        <x:v>INV_ALLOW_2025</x:v>
      </x:c>
      <x:c r="B55" s="30" t="str">
        <x:v>存货跌价准备</x:v>
      </x:c>
      <x:c r="C55" s="39" t="n">
        <x:f>Inputs!D30</x:f>
        <x:v>158901675.52</x:v>
      </x:c>
      <x:c r="D55" s="30" t="n">
        <x:v>1</x:v>
      </x:c>
      <x:c r="E55" s="30" t="n">
        <x:v>140</x:v>
      </x:c>
      <x:c r="F55" s="30" t="str">
        <x:v>合并</x:v>
      </x:c>
      <x:c r="G55" s="30" t="str">
        <x:v>2025</x:v>
      </x:c>
      <x:c r="H55" s="30" t="str"/>
      <x:c r="I55" s="30"/>
    </x:row>
    <x:row r="56" ht="23" customHeight="1">
      <x:c r="A56" s="30" t="str">
        <x:v>INV_NET_2024</x:v>
      </x:c>
      <x:c r="B56" s="30" t="str">
        <x:v>存货账面价值</x:v>
      </x:c>
      <x:c r="C56" s="39" t="n">
        <x:f>Inputs!C31</x:f>
        <x:v>1204794701.71</x:v>
      </x:c>
      <x:c r="D56" s="30" t="n">
        <x:v>1</x:v>
      </x:c>
      <x:c r="E56" s="30" t="n">
        <x:v>140</x:v>
      </x:c>
      <x:c r="F56" s="30" t="str">
        <x:v>合并</x:v>
      </x:c>
      <x:c r="G56" s="30" t="str">
        <x:v>2024</x:v>
      </x:c>
      <x:c r="H56" s="30" t="str"/>
      <x:c r="I56" s="30"/>
    </x:row>
    <x:row r="57" ht="23" customHeight="1">
      <x:c r="A57" s="30" t="str">
        <x:v>INV_NET_2025</x:v>
      </x:c>
      <x:c r="B57" s="30" t="str">
        <x:v>存货账面价值</x:v>
      </x:c>
      <x:c r="C57" s="39" t="n">
        <x:f>Inputs!D31</x:f>
        <x:v>1276376274.24</x:v>
      </x:c>
      <x:c r="D57" s="30" t="n">
        <x:v>1</x:v>
      </x:c>
      <x:c r="E57" s="30" t="n">
        <x:v>140</x:v>
      </x:c>
      <x:c r="F57" s="30" t="str">
        <x:v>合并</x:v>
      </x:c>
      <x:c r="G57" s="30" t="str">
        <x:v>2025</x:v>
      </x:c>
      <x:c r="H57" s="30" t="str"/>
      <x:c r="I57" s="30"/>
    </x:row>
    <x:row r="58" ht="23" customHeight="1">
      <x:c r="A58" s="30" t="str">
        <x:v>INV_CHARGE_2025</x:v>
      </x:c>
      <x:c r="B58" s="30" t="str">
        <x:v>本期存货跌价准备计提</x:v>
      </x:c>
      <x:c r="C58" s="39" t="n">
        <x:f>Inputs!D32</x:f>
        <x:v>94847016.77</x:v>
      </x:c>
      <x:c r="D58" s="30" t="n">
        <x:v>1</x:v>
      </x:c>
      <x:c r="E58" s="30" t="n">
        <x:v>140</x:v>
      </x:c>
      <x:c r="F58" s="30" t="str">
        <x:v>合并</x:v>
      </x:c>
      <x:c r="G58" s="30" t="str">
        <x:v>2025</x:v>
      </x:c>
      <x:c r="H58" s="30" t="str"/>
      <x:c r="I58" s="30"/>
    </x:row>
    <x:row r="59" ht="23" customHeight="1">
      <x:c r="A59" s="30" t="str">
        <x:v>INV_RELEASE_2025</x:v>
      </x:c>
      <x:c r="B59" s="30" t="str">
        <x:v>本期存货准备转回或转销</x:v>
      </x:c>
      <x:c r="C59" s="39" t="n">
        <x:f>Inputs!D33</x:f>
        <x:v>65836518.83</x:v>
      </x:c>
      <x:c r="D59" s="30" t="n">
        <x:v>1</x:v>
      </x:c>
      <x:c r="E59" s="30" t="n">
        <x:v>140</x:v>
      </x:c>
      <x:c r="F59" s="30" t="str">
        <x:v>合并</x:v>
      </x:c>
      <x:c r="G59" s="30" t="str">
        <x:v>2025</x:v>
      </x:c>
      <x:c r="H59" s="30" t="str"/>
      <x:c r="I59" s="30"/>
    </x:row>
    <x:row r="60" ht="23" customHeight="1">
      <x:c r="A60" s="30" t="str">
        <x:v>AR_GROSS_2024</x:v>
      </x:c>
      <x:c r="B60" s="30" t="str">
        <x:v>应收账款账面余额</x:v>
      </x:c>
      <x:c r="C60" s="39" t="n">
        <x:f>Inputs!C34</x:f>
        <x:v>781369444.56</x:v>
      </x:c>
      <x:c r="D60" s="30" t="n">
        <x:v>1</x:v>
      </x:c>
      <x:c r="E60" s="30" t="n">
        <x:v>128</x:v>
      </x:c>
      <x:c r="F60" s="30" t="str">
        <x:v>合并</x:v>
      </x:c>
      <x:c r="G60" s="30" t="str">
        <x:v>2024</x:v>
      </x:c>
      <x:c r="H60" s="30" t="str"/>
      <x:c r="I60" s="30"/>
    </x:row>
    <x:row r="61" ht="23" customHeight="1">
      <x:c r="A61" s="30" t="str">
        <x:v>AR_GROSS_2025</x:v>
      </x:c>
      <x:c r="B61" s="30" t="str">
        <x:v>应收账款账面余额</x:v>
      </x:c>
      <x:c r="C61" s="39" t="n">
        <x:f>Inputs!D34</x:f>
        <x:v>717784195.73</x:v>
      </x:c>
      <x:c r="D61" s="30" t="n">
        <x:v>1</x:v>
      </x:c>
      <x:c r="E61" s="30" t="n">
        <x:v>128</x:v>
      </x:c>
      <x:c r="F61" s="30" t="str">
        <x:v>合并</x:v>
      </x:c>
      <x:c r="G61" s="30" t="str">
        <x:v>2025</x:v>
      </x:c>
      <x:c r="H61" s="30" t="str"/>
      <x:c r="I61" s="30"/>
    </x:row>
    <x:row r="62" ht="23" customHeight="1">
      <x:c r="A62" s="30" t="str">
        <x:v>AR_ALLOW_2024</x:v>
      </x:c>
      <x:c r="B62" s="30" t="str">
        <x:v>应收账款坏账准备</x:v>
      </x:c>
      <x:c r="C62" s="39" t="n">
        <x:f>Inputs!C35</x:f>
        <x:v>88538659.21</x:v>
      </x:c>
      <x:c r="D62" s="30" t="n">
        <x:v>1</x:v>
      </x:c>
      <x:c r="E62" s="30" t="n">
        <x:v>128</x:v>
      </x:c>
      <x:c r="F62" s="30" t="str">
        <x:v>合并</x:v>
      </x:c>
      <x:c r="G62" s="30" t="str">
        <x:v>2024</x:v>
      </x:c>
      <x:c r="H62" s="30" t="str"/>
      <x:c r="I62" s="30"/>
    </x:row>
    <x:row r="63" ht="23" customHeight="1">
      <x:c r="A63" s="30" t="str">
        <x:v>AR_ALLOW_2025</x:v>
      </x:c>
      <x:c r="B63" s="30" t="str">
        <x:v>应收账款坏账准备</x:v>
      </x:c>
      <x:c r="C63" s="39" t="n">
        <x:f>Inputs!D35</x:f>
        <x:v>75506628.53</x:v>
      </x:c>
      <x:c r="D63" s="30" t="n">
        <x:v>1</x:v>
      </x:c>
      <x:c r="E63" s="30" t="n">
        <x:v>128</x:v>
      </x:c>
      <x:c r="F63" s="30" t="str">
        <x:v>合并</x:v>
      </x:c>
      <x:c r="G63" s="30" t="str">
        <x:v>2025</x:v>
      </x:c>
      <x:c r="H63" s="30" t="str"/>
      <x:c r="I63" s="30"/>
    </x:row>
    <x:row r="64" ht="23" customHeight="1">
      <x:c r="A64" s="30" t="str">
        <x:v>AR_NET_2024</x:v>
      </x:c>
      <x:c r="B64" s="30" t="str">
        <x:v>应收账款账面价值</x:v>
      </x:c>
      <x:c r="C64" s="39" t="n">
        <x:f>Inputs!C36</x:f>
        <x:v>692830785.35</x:v>
      </x:c>
      <x:c r="D64" s="30" t="n">
        <x:v>1</x:v>
      </x:c>
      <x:c r="E64" s="30" t="n">
        <x:v>128</x:v>
      </x:c>
      <x:c r="F64" s="30" t="str">
        <x:v>合并</x:v>
      </x:c>
      <x:c r="G64" s="30" t="str">
        <x:v>2024</x:v>
      </x:c>
      <x:c r="H64" s="30" t="str"/>
      <x:c r="I64" s="30"/>
    </x:row>
    <x:row r="65" ht="23" customHeight="1">
      <x:c r="A65" s="30" t="str">
        <x:v>AR_NET_2025</x:v>
      </x:c>
      <x:c r="B65" s="30" t="str">
        <x:v>应收账款账面价值</x:v>
      </x:c>
      <x:c r="C65" s="39" t="n">
        <x:f>Inputs!D36</x:f>
        <x:v>642277567.2</x:v>
      </x:c>
      <x:c r="D65" s="30" t="n">
        <x:v>1</x:v>
      </x:c>
      <x:c r="E65" s="30" t="n">
        <x:v>128</x:v>
      </x:c>
      <x:c r="F65" s="30" t="str">
        <x:v>合并</x:v>
      </x:c>
      <x:c r="G65" s="30" t="str">
        <x:v>2025</x:v>
      </x:c>
      <x:c r="H65" s="30" t="str"/>
      <x:c r="I65" s="30"/>
    </x:row>
    <x:row r="66" ht="23" customHeight="1">
      <x:c r="A66" s="30" t="str">
        <x:v>AP_2024</x:v>
      </x:c>
      <x:c r="B66" s="30" t="str">
        <x:v>应付账款</x:v>
      </x:c>
      <x:c r="C66" s="39" t="n">
        <x:f>Inputs!C37</x:f>
        <x:v>460218384.9</x:v>
      </x:c>
      <x:c r="D66" s="30" t="n">
        <x:v>1</x:v>
      </x:c>
      <x:c r="E66" s="30" t="n">
        <x:v>163</x:v>
      </x:c>
      <x:c r="F66" s="30" t="str">
        <x:v>合并</x:v>
      </x:c>
      <x:c r="G66" s="30" t="str">
        <x:v>2024</x:v>
      </x:c>
      <x:c r="H66" s="30" t="str"/>
      <x:c r="I66" s="30"/>
    </x:row>
    <x:row r="67" ht="23" customHeight="1">
      <x:c r="A67" s="30" t="str">
        <x:v>AP_2025</x:v>
      </x:c>
      <x:c r="B67" s="30" t="str">
        <x:v>应付账款</x:v>
      </x:c>
      <x:c r="C67" s="39" t="n">
        <x:f>Inputs!D37</x:f>
        <x:v>492048234.56</x:v>
      </x:c>
      <x:c r="D67" s="30" t="n">
        <x:v>1</x:v>
      </x:c>
      <x:c r="E67" s="30" t="n">
        <x:v>163</x:v>
      </x:c>
      <x:c r="F67" s="30" t="str">
        <x:v>合并</x:v>
      </x:c>
      <x:c r="G67" s="30" t="str">
        <x:v>2025</x:v>
      </x:c>
      <x:c r="H67" s="30" t="str"/>
      <x:c r="I67" s="30"/>
    </x:row>
    <x:row r="68" ht="23" customHeight="1">
      <x:c r="A68" s="30" t="str">
        <x:v>AP_PROPERTY_2025</x:v>
      </x:c>
      <x:c r="B68" s="30" t="str">
        <x:v>重要应付账款：购房款尚未支付</x:v>
      </x:c>
      <x:c r="C68" s="39" t="n">
        <x:f>Inputs!D38</x:f>
        <x:v>1500000</x:v>
      </x:c>
      <x:c r="D68" s="30" t="n">
        <x:v>1</x:v>
      </x:c>
      <x:c r="E68" s="30" t="n">
        <x:v>163</x:v>
      </x:c>
      <x:c r="F68" s="30" t="str">
        <x:v>合并</x:v>
      </x:c>
      <x:c r="G68" s="30" t="str">
        <x:v>2025</x:v>
      </x:c>
      <x:c r="H68" s="30" t="str"/>
      <x:c r="I68" s="30"/>
    </x:row>
    <x:row r="69" ht="23" customHeight="1">
      <x:c r="A69" s="30" t="str">
        <x:v>AP_ENGINEER_2025</x:v>
      </x:c>
      <x:c r="B69" s="30" t="str">
        <x:v>重要应付账款：工程质保金未到期</x:v>
      </x:c>
      <x:c r="C69" s="39" t="n">
        <x:f>Inputs!D39</x:f>
        <x:v>28291299.51</x:v>
      </x:c>
      <x:c r="D69" s="30" t="n">
        <x:v>1</x:v>
      </x:c>
      <x:c r="E69" s="30" t="n">
        <x:v>163</x:v>
      </x:c>
      <x:c r="F69" s="30" t="str">
        <x:v>合并</x:v>
      </x:c>
      <x:c r="G69" s="30" t="str">
        <x:v>2025</x:v>
      </x:c>
      <x:c r="H69" s="30" t="str"/>
      <x:c r="I69" s="30"/>
    </x:row>
    <x:row r="70" ht="23" customHeight="1">
      <x:c r="A70" s="30" t="str">
        <x:v>CL_CUSTOMER_2024</x:v>
      </x:c>
      <x:c r="B70" s="30" t="str">
        <x:v>合同负债：客户预收款</x:v>
      </x:c>
      <x:c r="C70" s="39" t="n">
        <x:f>Inputs!C40</x:f>
        <x:v>329846645.67</x:v>
      </x:c>
      <x:c r="D70" s="30" t="n">
        <x:v>1</x:v>
      </x:c>
      <x:c r="E70" s="30" t="n">
        <x:v>165</x:v>
      </x:c>
      <x:c r="F70" s="30" t="str">
        <x:v>合并</x:v>
      </x:c>
      <x:c r="G70" s="30" t="str">
        <x:v>2024</x:v>
      </x:c>
      <x:c r="H70" s="30" t="str"/>
      <x:c r="I70" s="30"/>
    </x:row>
    <x:row r="71" ht="23" customHeight="1">
      <x:c r="A71" s="30" t="str">
        <x:v>CL_CUSTOMER_2025</x:v>
      </x:c>
      <x:c r="B71" s="30" t="str">
        <x:v>合同负债：客户预收款</x:v>
      </x:c>
      <x:c r="C71" s="39" t="n">
        <x:f>Inputs!D40</x:f>
        <x:v>349812454.95</x:v>
      </x:c>
      <x:c r="D71" s="30" t="n">
        <x:v>1</x:v>
      </x:c>
      <x:c r="E71" s="30" t="n">
        <x:v>165</x:v>
      </x:c>
      <x:c r="F71" s="30" t="str">
        <x:v>合并</x:v>
      </x:c>
      <x:c r="G71" s="30" t="str">
        <x:v>2025</x:v>
      </x:c>
      <x:c r="H71" s="30" t="str"/>
      <x:c r="I71" s="30"/>
    </x:row>
    <x:row r="72" ht="23" customHeight="1">
      <x:c r="A72" s="30" t="str">
        <x:v>CL_CARD_2024</x:v>
      </x:c>
      <x:c r="B72" s="30" t="str">
        <x:v>合同负债：贵宾卡预收款</x:v>
      </x:c>
      <x:c r="C72" s="39" t="n">
        <x:f>Inputs!C41</x:f>
        <x:v>11534064.8</x:v>
      </x:c>
      <x:c r="D72" s="30" t="n">
        <x:v>1</x:v>
      </x:c>
      <x:c r="E72" s="30" t="n">
        <x:v>165</x:v>
      </x:c>
      <x:c r="F72" s="30" t="str">
        <x:v>合并</x:v>
      </x:c>
      <x:c r="G72" s="30" t="str">
        <x:v>2024</x:v>
      </x:c>
      <x:c r="H72" s="30" t="str"/>
      <x:c r="I72" s="30"/>
    </x:row>
    <x:row r="73" ht="23" customHeight="1">
      <x:c r="A73" s="30" t="str">
        <x:v>CL_CARD_2025</x:v>
      </x:c>
      <x:c r="B73" s="30" t="str">
        <x:v>合同负债：贵宾卡预收款</x:v>
      </x:c>
      <x:c r="C73" s="39" t="n">
        <x:f>Inputs!D41</x:f>
        <x:v>10941441.02</x:v>
      </x:c>
      <x:c r="D73" s="30" t="n">
        <x:v>1</x:v>
      </x:c>
      <x:c r="E73" s="30" t="n">
        <x:v>165</x:v>
      </x:c>
      <x:c r="F73" s="30" t="str">
        <x:v>合并</x:v>
      </x:c>
      <x:c r="G73" s="30" t="str">
        <x:v>2025</x:v>
      </x:c>
      <x:c r="H73" s="30" t="str"/>
      <x:c r="I73" s="30"/>
    </x:row>
    <x:row r="74" ht="23" customHeight="1">
      <x:c r="A74" s="30" t="str">
        <x:v>CL_OTHER_2024</x:v>
      </x:c>
      <x:c r="B74" s="30" t="str">
        <x:v>合同负债：其他</x:v>
      </x:c>
      <x:c r="C74" s="39" t="n">
        <x:f>Inputs!C42</x:f>
        <x:v>20595218.56</x:v>
      </x:c>
      <x:c r="D74" s="30" t="n">
        <x:v>1</x:v>
      </x:c>
      <x:c r="E74" s="30" t="n">
        <x:v>165</x:v>
      </x:c>
      <x:c r="F74" s="30" t="str">
        <x:v>合并</x:v>
      </x:c>
      <x:c r="G74" s="30" t="str">
        <x:v>2024</x:v>
      </x:c>
      <x:c r="H74" s="30" t="str"/>
      <x:c r="I74" s="30"/>
    </x:row>
    <x:row r="75" ht="23" customHeight="1">
      <x:c r="A75" s="30" t="str">
        <x:v>CL_OTHER_2025</x:v>
      </x:c>
      <x:c r="B75" s="30" t="str">
        <x:v>合同负债：其他</x:v>
      </x:c>
      <x:c r="C75" s="39" t="n">
        <x:f>Inputs!D42</x:f>
        <x:v>34926925.33</x:v>
      </x:c>
      <x:c r="D75" s="30" t="n">
        <x:v>1</x:v>
      </x:c>
      <x:c r="E75" s="30" t="n">
        <x:v>165</x:v>
      </x:c>
      <x:c r="F75" s="30" t="str">
        <x:v>合并</x:v>
      </x:c>
      <x:c r="G75" s="30" t="str">
        <x:v>2025</x:v>
      </x:c>
      <x:c r="H75" s="30" t="str"/>
      <x:c r="I75" s="30"/>
    </x:row>
    <x:row r="76" ht="23" customHeight="1">
      <x:c r="A76" s="30" t="str">
        <x:v>CL_TOTAL_2024</x:v>
      </x:c>
      <x:c r="B76" s="30" t="str">
        <x:v>合同负债合计</x:v>
      </x:c>
      <x:c r="C76" s="39" t="n">
        <x:f>Inputs!C43</x:f>
        <x:v>361975929.03</x:v>
      </x:c>
      <x:c r="D76" s="30" t="n">
        <x:v>1</x:v>
      </x:c>
      <x:c r="E76" s="30" t="n">
        <x:v>165</x:v>
      </x:c>
      <x:c r="F76" s="30" t="str">
        <x:v>合并</x:v>
      </x:c>
      <x:c r="G76" s="30" t="str">
        <x:v>2024</x:v>
      </x:c>
      <x:c r="H76" s="30" t="str"/>
      <x:c r="I76" s="30"/>
    </x:row>
    <x:row r="77" ht="23" customHeight="1">
      <x:c r="A77" s="30" t="str">
        <x:v>CL_TOTAL_2025</x:v>
      </x:c>
      <x:c r="B77" s="30" t="str">
        <x:v>合同负债合计</x:v>
      </x:c>
      <x:c r="C77" s="39" t="n">
        <x:f>Inputs!D43</x:f>
        <x:v>395680821.3</x:v>
      </x:c>
      <x:c r="D77" s="30" t="n">
        <x:v>1</x:v>
      </x:c>
      <x:c r="E77" s="30" t="n">
        <x:v>165</x:v>
      </x:c>
      <x:c r="F77" s="30" t="str">
        <x:v>合并</x:v>
      </x:c>
      <x:c r="G77" s="30" t="str">
        <x:v>2025</x:v>
      </x:c>
      <x:c r="H77" s="30" t="str"/>
      <x:c r="I77" s="30"/>
    </x:row>
    <x:row r="78" ht="23" customHeight="1">
      <x:c r="A78" s="30" t="str">
        <x:v>NP24</x:v>
      </x:c>
      <x:c r="B78" s="30" t="str">
        <x:v>2024桥接合并净利润</x:v>
      </x:c>
      <x:c r="C78" s="39" t="n">
        <x:f>Bridge!D7</x:f>
        <x:v>520154868.04</x:v>
      </x:c>
      <x:c r="D78" s="30" t="n">
        <x:v>1</x:v>
      </x:c>
      <x:c r="E78" s="30" t="n">
        <x:v>181</x:v>
      </x:c>
      <x:c r="F78" s="30" t="str">
        <x:v>合并</x:v>
      </x:c>
      <x:c r="G78" s="30" t="str">
        <x:v>2024</x:v>
      </x:c>
      <x:c r="H78" s="30" t="str"/>
      <x:c r="I78" s="30"/>
    </x:row>
    <x:row r="79" ht="23" customHeight="1">
      <x:c r="A79" s="30" t="str">
        <x:v>NP25</x:v>
      </x:c>
      <x:c r="B79" s="30" t="str">
        <x:v>2025桥接合并净利润</x:v>
      </x:c>
      <x:c r="C79" s="39" t="n">
        <x:f>Bridge!E7</x:f>
        <x:v>350495471.77</x:v>
      </x:c>
      <x:c r="D79" s="30" t="n">
        <x:v>1</x:v>
      </x:c>
      <x:c r="E79" s="30" t="n">
        <x:v>181</x:v>
      </x:c>
      <x:c r="F79" s="30" t="str">
        <x:v>合并</x:v>
      </x:c>
      <x:c r="G79" s="30" t="str">
        <x:v>2025</x:v>
      </x:c>
      <x:c r="H79" s="30" t="str"/>
      <x:c r="I79" s="30"/>
    </x:row>
    <x:row r="80" ht="23" customHeight="1">
      <x:c r="A80" s="30" t="str">
        <x:v>CFO24</x:v>
      </x:c>
      <x:c r="B80" s="30" t="str">
        <x:v>2024公式经营现金流</x:v>
      </x:c>
      <x:c r="C80" s="39" t="n">
        <x:f>Bridge!D10</x:f>
        <x:v>702230569.8699999</x:v>
      </x:c>
      <x:c r="D80" s="30" t="n">
        <x:v>1</x:v>
      </x:c>
      <x:c r="E80" s="30" t="n">
        <x:v>181</x:v>
      </x:c>
      <x:c r="F80" s="30" t="str">
        <x:v>合并</x:v>
      </x:c>
      <x:c r="G80" s="30" t="str">
        <x:v>2024</x:v>
      </x:c>
      <x:c r="H80" s="30" t="str"/>
      <x:c r="I80" s="30"/>
    </x:row>
    <x:row r="81" ht="23" customHeight="1">
      <x:c r="A81" s="30" t="str">
        <x:v>CFO25</x:v>
      </x:c>
      <x:c r="B81" s="30" t="str">
        <x:v>2025公式经营现金流</x:v>
      </x:c>
      <x:c r="C81" s="39" t="n">
        <x:f>Bridge!E10</x:f>
        <x:v>636484979.8199999</x:v>
      </x:c>
      <x:c r="D81" s="30" t="n">
        <x:v>1</x:v>
      </x:c>
      <x:c r="E81" s="30" t="n">
        <x:v>181</x:v>
      </x:c>
      <x:c r="F81" s="30" t="str">
        <x:v>合并</x:v>
      </x:c>
      <x:c r="G81" s="30" t="str">
        <x:v>2025</x:v>
      </x:c>
      <x:c r="H81" s="30" t="str"/>
      <x:c r="I81" s="30"/>
    </x:row>
    <x:row r="82" ht="23" customHeight="1">
      <x:c r="A82" s="30" t="str">
        <x:v>CFO_DELTA</x:v>
      </x:c>
      <x:c r="B82" s="30" t="str">
        <x:v>经营现金流同比变化</x:v>
      </x:c>
      <x:c r="C82" s="39" t="n">
        <x:f>Bridge!F10</x:f>
        <x:v>-65745590.04999995</x:v>
      </x:c>
      <x:c r="D82" s="30" t="n">
        <x:v>1</x:v>
      </x:c>
      <x:c r="E82" s="30" t="n">
        <x:v>181</x:v>
      </x:c>
      <x:c r="F82" s="30" t="str">
        <x:v>合并</x:v>
      </x:c>
      <x:c r="G82" s="30" t="str">
        <x:v>2025-2024</x:v>
      </x:c>
      <x:c r="H82" s="30" t="str"/>
      <x:c r="I82" s="30"/>
    </x:row>
    <x:row r="83" ht="23" customHeight="1">
      <x:c r="A83" s="30" t="str">
        <x:v>NP_DELTA</x:v>
      </x:c>
      <x:c r="B83" s="30" t="str">
        <x:v>净利润同比变化</x:v>
      </x:c>
      <x:c r="C83" s="39" t="n">
        <x:f>Bridge!F7</x:f>
        <x:v>-169659396.27000004</x:v>
      </x:c>
      <x:c r="D83" s="30" t="n">
        <x:v>1</x:v>
      </x:c>
      <x:c r="E83" s="30" t="n">
        <x:v>181</x:v>
      </x:c>
      <x:c r="F83" s="30" t="str">
        <x:v>合并</x:v>
      </x:c>
      <x:c r="G83" s="30" t="str">
        <x:v>2025-2024</x:v>
      </x:c>
      <x:c r="H83" s="30" t="str"/>
      <x:c r="I83" s="30"/>
    </x:row>
    <x:row r="84" ht="23" customHeight="1">
      <x:c r="A84" s="30" t="str">
        <x:v>WC_DELTA</x:v>
      </x:c>
      <x:c r="B84" s="30" t="str">
        <x:v>营运资本调整同比贡献</x:v>
      </x:c>
      <x:c r="C84" s="39" t="n">
        <x:f>Bridge!F9</x:f>
        <x:v>92587671.66999999</x:v>
      </x:c>
      <x:c r="D84" s="30" t="n">
        <x:v>1</x:v>
      </x:c>
      <x:c r="E84" s="30" t="n">
        <x:v>181</x:v>
      </x:c>
      <x:c r="F84" s="30" t="str">
        <x:v>合并</x:v>
      </x:c>
      <x:c r="G84" s="30" t="str">
        <x:v>2025-2024</x:v>
      </x:c>
      <x:c r="H84" s="30" t="str"/>
      <x:c r="I84" s="30"/>
    </x:row>
    <x:row r="85" ht="23" customHeight="1">
      <x:c r="A85" s="30" t="str">
        <x:v>RECEIVABLE_CONTRIB</x:v>
      </x:c>
      <x:c r="B85" s="30" t="str">
        <x:v>经营性应收同比贡献</x:v>
      </x:c>
      <x:c r="C85" s="39" t="n">
        <x:f>Bridge!F34</x:f>
        <x:v>307691573.84999996</x:v>
      </x:c>
      <x:c r="D85" s="30" t="n">
        <x:v>1</x:v>
      </x:c>
      <x:c r="E85" s="30" t="n">
        <x:v>181</x:v>
      </x:c>
      <x:c r="F85" s="30" t="str">
        <x:v>合并</x:v>
      </x:c>
      <x:c r="G85" s="30" t="str">
        <x:v>2025-2024</x:v>
      </x:c>
      <x:c r="H85" s="30" t="str"/>
      <x:c r="I85" s="30"/>
    </x:row>
    <x:row r="86" ht="23" customHeight="1">
      <x:c r="A86" s="30" t="str">
        <x:v>PAYABLE_CONTRIB</x:v>
      </x:c>
      <x:c r="B86" s="30" t="str">
        <x:v>经营性应付同比贡献</x:v>
      </x:c>
      <x:c r="C86" s="39" t="n">
        <x:f>Bridge!F35</x:f>
        <x:v>-196865614.47</x:v>
      </x:c>
      <x:c r="D86" s="30" t="n">
        <x:v>1</x:v>
      </x:c>
      <x:c r="E86" s="30" t="n">
        <x:v>181</x:v>
      </x:c>
      <x:c r="F86" s="30" t="str">
        <x:v>合并</x:v>
      </x:c>
      <x:c r="G86" s="30" t="str">
        <x:v>2025-2024</x:v>
      </x:c>
      <x:c r="H86" s="30" t="str"/>
      <x:c r="I86" s="30"/>
    </x:row>
    <x:row r="87" ht="23" customHeight="1">
      <x:c r="A87" s="30" t="str">
        <x:v>RATIO24</x:v>
      </x:c>
      <x:c r="B87" s="30" t="str">
        <x:v>2024经营现金流/净利润</x:v>
      </x:c>
      <x:c r="C87" s="40" t="n">
        <x:f>Bridge!D14</x:f>
        <x:v>1.3500413300294216</x:v>
      </x:c>
      <x:c r="D87" s="30" t="n">
        <x:v>1</x:v>
      </x:c>
      <x:c r="E87" s="30" t="n">
        <x:v>181</x:v>
      </x:c>
      <x:c r="F87" s="30" t="str">
        <x:v>合并</x:v>
      </x:c>
      <x:c r="G87" s="30" t="str">
        <x:v>2024</x:v>
      </x:c>
      <x:c r="H87" s="30" t="str"/>
      <x:c r="I87" s="30"/>
    </x:row>
    <x:row r="88" ht="23" customHeight="1">
      <x:c r="A88" s="30" t="str">
        <x:v>RATIO25</x:v>
      </x:c>
      <x:c r="B88" s="30" t="str">
        <x:v>2025经营现金流/净利润</x:v>
      </x:c>
      <x:c r="C88" s="40" t="n">
        <x:f>Bridge!E14</x:f>
        <x:v>1.8159577828659375</x:v>
      </x:c>
      <x:c r="D88" s="30" t="n">
        <x:v>1</x:v>
      </x:c>
      <x:c r="E88" s="30" t="n">
        <x:v>181</x:v>
      </x:c>
      <x:c r="F88" s="30" t="str">
        <x:v>合并</x:v>
      </x:c>
      <x:c r="G88" s="30" t="str">
        <x:v>2025</x:v>
      </x:c>
      <x:c r="H88" s="30" t="str"/>
      <x:c r="I88" s="30"/>
    </x:row>
    <x:row r="89" ht="23" customHeight="1">
      <x:c r="A89" s="30" t="str">
        <x:v>SPREAD24</x:v>
      </x:c>
      <x:c r="B89" s="30" t="str">
        <x:v>2024经营现金流减净利润</x:v>
      </x:c>
      <x:c r="C89" s="39" t="n">
        <x:f>Bridge!D15</x:f>
        <x:v>182075701.82999986</x:v>
      </x:c>
      <x:c r="D89" s="30" t="n">
        <x:v>1</x:v>
      </x:c>
      <x:c r="E89" s="30" t="n">
        <x:v>181</x:v>
      </x:c>
      <x:c r="F89" s="30" t="str">
        <x:v>合并</x:v>
      </x:c>
      <x:c r="G89" s="30" t="str">
        <x:v>2024</x:v>
      </x:c>
      <x:c r="H89" s="30" t="str"/>
      <x:c r="I89" s="30"/>
    </x:row>
    <x:row r="90" ht="23" customHeight="1">
      <x:c r="A90" s="30" t="str">
        <x:v>SPREAD25</x:v>
      </x:c>
      <x:c r="B90" s="30" t="str">
        <x:v>2025经营现金流减净利润</x:v>
      </x:c>
      <x:c r="C90" s="39" t="n">
        <x:f>Bridge!E15</x:f>
        <x:v>285989508.04999995</x:v>
      </x:c>
      <x:c r="D90" s="30" t="n">
        <x:v>1</x:v>
      </x:c>
      <x:c r="E90" s="30" t="n">
        <x:v>181</x:v>
      </x:c>
      <x:c r="F90" s="30" t="str">
        <x:v>合并</x:v>
      </x:c>
      <x:c r="G90" s="30" t="str">
        <x:v>2025</x:v>
      </x:c>
      <x:c r="H90" s="30" t="str"/>
      <x:c r="I90" s="30"/>
    </x:row>
    <x:row r="91" ht="23" customHeight="1">
      <x:c r="A91" s="30" t="str">
        <x:v>INV_NET_DELTA</x:v>
      </x:c>
      <x:c r="B91" s="30" t="str">
        <x:v>存货净额期末减期初</x:v>
      </x:c>
      <x:c r="C91" s="39" t="n">
        <x:f>WC!F10</x:f>
        <x:v>71581572.52999997</x:v>
      </x:c>
      <x:c r="D91" s="30" t="n">
        <x:v>1</x:v>
      </x:c>
      <x:c r="E91" s="30" t="n">
        <x:v>140</x:v>
      </x:c>
      <x:c r="F91" s="30" t="str">
        <x:v>合并</x:v>
      </x:c>
      <x:c r="G91" s="30" t="str">
        <x:v>2025-2024</x:v>
      </x:c>
      <x:c r="H91" s="30" t="str"/>
      <x:c r="I91" s="30"/>
    </x:row>
    <x:row r="92" ht="23" customHeight="1">
      <x:c r="A92" s="30" t="str">
        <x:v>INV_ALLOW_ROLL</x:v>
      </x:c>
      <x:c r="B92" s="30" t="str">
        <x:v>存货准备期末复算</x:v>
      </x:c>
      <x:c r="C92" s="39" t="n">
        <x:f>WC!E16</x:f>
        <x:v>158901675.51999998</x:v>
      </x:c>
      <x:c r="D92" s="30" t="n">
        <x:v>1</x:v>
      </x:c>
      <x:c r="E92" s="30" t="n">
        <x:v>140</x:v>
      </x:c>
      <x:c r="F92" s="30" t="str">
        <x:v>合并</x:v>
      </x:c>
      <x:c r="G92" s="30" t="str">
        <x:v>2025-2024</x:v>
      </x:c>
      <x:c r="H92" s="30" t="str"/>
      <x:c r="I92" s="30"/>
    </x:row>
    <x:row r="93" ht="23" customHeight="1">
      <x:c r="A93" s="30" t="str">
        <x:v>INV_NET_GAP</x:v>
      </x:c>
      <x:c r="B93" s="30" t="str">
        <x:v>存货调整减简单净额变动</x:v>
      </x:c>
      <x:c r="C93" s="39" t="n">
        <x:f>WC!E22</x:f>
        <x:v>-94847016.77000004</x:v>
      </x:c>
      <x:c r="D93" s="30" t="n">
        <x:v>1</x:v>
      </x:c>
      <x:c r="E93" s="30" t="n">
        <x:v>140</x:v>
      </x:c>
      <x:c r="F93" s="30" t="str">
        <x:v>合并</x:v>
      </x:c>
      <x:c r="G93" s="30" t="str">
        <x:v>2025-2024</x:v>
      </x:c>
      <x:c r="H93" s="30" t="str"/>
      <x:c r="I93" s="30"/>
    </x:row>
    <x:row r="94" ht="23" customHeight="1">
      <x:c r="A94" s="30" t="str">
        <x:v>INV_GROSS_GAP</x:v>
      </x:c>
      <x:c r="B94" s="30" t="str">
        <x:v>存货调整减简单毛额变动</x:v>
      </x:c>
      <x:c r="C94" s="39" t="n">
        <x:f>WC!E26</x:f>
        <x:v>-65836518.82999998</x:v>
      </x:c>
      <x:c r="D94" s="30" t="n">
        <x:v>1</x:v>
      </x:c>
      <x:c r="E94" s="30" t="n">
        <x:v>140</x:v>
      </x:c>
      <x:c r="F94" s="30" t="str">
        <x:v>合并</x:v>
      </x:c>
      <x:c r="G94" s="30" t="str">
        <x:v>2025-2024</x:v>
      </x:c>
      <x:c r="H94" s="30" t="str"/>
      <x:c r="I94" s="30"/>
    </x:row>
    <x:row r="95" ht="23" customHeight="1">
      <x:c r="A95" s="30" t="str">
        <x:v>INV_CF_NET</x:v>
      </x:c>
      <x:c r="B95" s="30" t="str">
        <x:v>结合计提的存货调整复算</x:v>
      </x:c>
      <x:c r="C95" s="39" t="n">
        <x:f>WC!E23</x:f>
        <x:v>-166428589.29999995</x:v>
      </x:c>
      <x:c r="D95" s="30" t="n">
        <x:v>1</x:v>
      </x:c>
      <x:c r="E95" s="30" t="n">
        <x:v>140</x:v>
      </x:c>
      <x:c r="F95" s="30" t="str">
        <x:v>合并</x:v>
      </x:c>
      <x:c r="G95" s="30" t="str">
        <x:v>2025-2024</x:v>
      </x:c>
      <x:c r="H95" s="30" t="str"/>
      <x:c r="I95" s="30"/>
    </x:row>
    <x:row r="96" ht="23" customHeight="1">
      <x:c r="A96" s="30" t="str">
        <x:v>INV_CF_GROSS</x:v>
      </x:c>
      <x:c r="B96" s="30" t="str">
        <x:v>结合转回或转销的存货调整复算</x:v>
      </x:c>
      <x:c r="C96" s="39" t="n">
        <x:f>WC!E27</x:f>
        <x:v>-166428589.3</x:v>
      </x:c>
      <x:c r="D96" s="30" t="n">
        <x:v>1</x:v>
      </x:c>
      <x:c r="E96" s="30" t="n">
        <x:v>140</x:v>
      </x:c>
      <x:c r="F96" s="30" t="str">
        <x:v>合并</x:v>
      </x:c>
      <x:c r="G96" s="30" t="str">
        <x:v>2025-2024</x:v>
      </x:c>
      <x:c r="H96" s="30" t="str"/>
      <x:c r="I96" s="30"/>
    </x:row>
    <x:row r="97" ht="23" customHeight="1">
      <x:c r="A97" s="30" t="str">
        <x:v>AR_RESIDUAL</x:v>
      </x:c>
      <x:c r="B97" s="30" t="str">
        <x:v>经营性应收减单一净额变动</x:v>
      </x:c>
      <x:c r="C97" s="39" t="n">
        <x:f>WC!E39</x:f>
        <x:v>-33114578.699999977</x:v>
      </x:c>
      <x:c r="D97" s="30" t="n">
        <x:v>1</x:v>
      </x:c>
      <x:c r="E97" s="30" t="n">
        <x:v>128</x:v>
      </x:c>
      <x:c r="F97" s="30" t="str">
        <x:v>合并</x:v>
      </x:c>
      <x:c r="G97" s="30" t="str">
        <x:v>2025-2024</x:v>
      </x:c>
      <x:c r="H97" s="30" t="str"/>
      <x:c r="I97" s="30"/>
    </x:row>
    <x:row r="98" ht="23" customHeight="1">
      <x:c r="A98" s="30" t="str">
        <x:v>AP_RESIDUAL</x:v>
      </x:c>
      <x:c r="B98" s="30" t="str">
        <x:v>经营性应付减单一应付变动</x:v>
      </x:c>
      <x:c r="C98" s="39" t="n">
        <x:f>WC!E45</x:f>
        <x:v>-47499604.340000026</x:v>
      </x:c>
      <x:c r="D98" s="30" t="n">
        <x:v>1</x:v>
      </x:c>
      <x:c r="E98" s="30" t="n">
        <x:v>163</x:v>
      </x:c>
      <x:c r="F98" s="30" t="str">
        <x:v>合并</x:v>
      </x:c>
      <x:c r="G98" s="30" t="str">
        <x:v>2025-2024</x:v>
      </x:c>
      <x:c r="H98" s="30" t="str"/>
      <x:c r="I98" s="30"/>
    </x:row>
    <x:row r="99" ht="23" customHeight="1">
      <x:c r="A99" s="30" t="str">
        <x:v>CL_DELTA</x:v>
      </x:c>
      <x:c r="B99" s="30" t="str">
        <x:v>合同负债总额期末减期初</x:v>
      </x:c>
      <x:c r="C99" s="39" t="n">
        <x:f>WC!F55</x:f>
        <x:v>33704892.27000004</x:v>
      </x:c>
      <x:c r="D99" s="30" t="n">
        <x:v>1</x:v>
      </x:c>
      <x:c r="E99" s="30" t="n">
        <x:v>165</x:v>
      </x:c>
      <x:c r="F99" s="30" t="str">
        <x:v>合并</x:v>
      </x:c>
      <x:c r="G99" s="30" t="str">
        <x:v>2025-2024</x:v>
      </x:c>
      <x:c r="H99" s="30" t="str"/>
      <x:c r="I99" s="30"/>
    </x:row>
    <x:row r="100" ht="23" customHeight="1">
      <x:c r="A100" s="30" t="str">
        <x:v>AP_CAPITAL_EXAMPLES</x:v>
      </x:c>
      <x:c r="B100" s="30" t="str">
        <x:v>重要应付资本款期末示例合计</x:v>
      </x:c>
      <x:c r="C100" s="39" t="n">
        <x:f>WC!E49</x:f>
        <x:v>29791299.51</x:v>
      </x:c>
      <x:c r="D100" s="30" t="n">
        <x:v>1</x:v>
      </x:c>
      <x:c r="E100" s="30" t="n">
        <x:v>163</x:v>
      </x:c>
      <x:c r="F100" s="30" t="str">
        <x:v>合并</x:v>
      </x:c>
      <x:c r="G100" s="30" t="str">
        <x:v>2025-2024</x:v>
      </x:c>
      <x:c r="H100" s="30" t="str"/>
      <x:c r="I100" s="30"/>
    </x:row>
    <x:row r="101" ht="23" customHeight="1">
      <x:c r="A101" s="30" t="str">
        <x:v>CFO_CONTROL_2024</x:v>
      </x:c>
      <x:c r="B101" s="30" t="str">
        <x:v>桥接与披露现金流差额2024</x:v>
      </x:c>
      <x:c r="C101" s="39" t="n">
        <x:f>Bridge!D12</x:f>
        <x:v>-1.1920928955078125e-7</x:v>
      </x:c>
      <x:c r="D101" s="30" t="n">
        <x:v>1</x:v>
      </x:c>
      <x:c r="E101" s="30" t="n">
        <x:v>181</x:v>
      </x:c>
      <x:c r="F101" s="30" t="str">
        <x:v>合并</x:v>
      </x:c>
      <x:c r="G101" s="30" t="str">
        <x:v>2024</x:v>
      </x:c>
      <x:c r="H101" s="30" t="str"/>
      <x:c r="I101" s="30"/>
    </x:row>
    <x:row r="102" ht="23" customHeight="1">
      <x:c r="A102" s="30" t="str">
        <x:v>CFO_CONTROL_2025</x:v>
      </x:c>
      <x:c r="B102" s="30" t="str">
        <x:v>桥接与披露现金流差额2025</x:v>
      </x:c>
      <x:c r="C102" s="39" t="n">
        <x:f>Bridge!E12</x:f>
        <x:v>-1.1920928955078125e-7</x:v>
      </x:c>
      <x:c r="D102" s="30" t="n">
        <x:v>1</x:v>
      </x:c>
      <x:c r="E102" s="30" t="n">
        <x:v>181</x:v>
      </x:c>
      <x:c r="F102" s="30" t="str">
        <x:v>合并</x:v>
      </x:c>
      <x:c r="G102" s="30" t="str">
        <x:v>2025</x:v>
      </x:c>
      <x:c r="H102" s="30" t="str"/>
      <x:c r="I102" s="30"/>
    </x:row>
    <x:row r="103" ht="23" customHeight="1">
      <x:c r="A103" s="30" t="str">
        <x:v>NP_CONTROL_2024</x:v>
      </x:c>
      <x:c r="B103" s="30" t="str">
        <x:v>主表与桥接净利润差额2024</x:v>
      </x:c>
      <x:c r="C103" s="39" t="n">
        <x:f>Bridge!D41</x:f>
        <x:v>0</x:v>
      </x:c>
      <x:c r="D103" s="30" t="n">
        <x:v>1</x:v>
      </x:c>
      <x:c r="E103" s="30" t="n">
        <x:v>181</x:v>
      </x:c>
      <x:c r="F103" s="30" t="str">
        <x:v>合并</x:v>
      </x:c>
      <x:c r="G103" s="30" t="str">
        <x:v>2024</x:v>
      </x:c>
      <x:c r="H103" s="30" t="str"/>
      <x:c r="I103" s="30"/>
    </x:row>
    <x:row r="104" ht="23" customHeight="1">
      <x:c r="A104" s="30" t="str">
        <x:v>NP_CONTROL_2025</x:v>
      </x:c>
      <x:c r="B104" s="30" t="str">
        <x:v>主表与桥接净利润差额2025</x:v>
      </x:c>
      <x:c r="C104" s="39" t="n">
        <x:f>Bridge!E41</x:f>
        <x:v>0</x:v>
      </x:c>
      <x:c r="D104" s="30" t="n">
        <x:v>1</x:v>
      </x:c>
      <x:c r="E104" s="30" t="n">
        <x:v>181</x:v>
      </x:c>
      <x:c r="F104" s="30" t="str">
        <x:v>合并</x:v>
      </x:c>
      <x:c r="G104" s="30" t="str">
        <x:v>2025</x:v>
      </x:c>
      <x:c r="H104" s="30" t="str"/>
      <x:c r="I104" s="30"/>
    </x:row>
    <x:row r="105" ht="23" customHeight="1">
      <x:c r="A105" s="30" t="str">
        <x:v>ATTRIBUTION_CONTROL_2024</x:v>
      </x:c>
      <x:c r="B105" s="30" t="str">
        <x:v>净利润归属分类差额2024</x:v>
      </x:c>
      <x:c r="C105" s="39" t="n">
        <x:f>Bridge!D42</x:f>
        <x:v>-5.960464477539063e-8</x:v>
      </x:c>
      <x:c r="D105" s="30" t="n">
        <x:v>1</x:v>
      </x:c>
      <x:c r="E105" s="30" t="n">
        <x:v>181</x:v>
      </x:c>
      <x:c r="F105" s="30" t="str">
        <x:v>合并</x:v>
      </x:c>
      <x:c r="G105" s="30" t="str">
        <x:v>2024</x:v>
      </x:c>
      <x:c r="H105" s="30" t="str"/>
      <x:c r="I105" s="30"/>
    </x:row>
    <x:row r="106" ht="23" customHeight="1">
      <x:c r="A106" s="30" t="str">
        <x:v>ATTRIBUTION_CONTROL_2025</x:v>
      </x:c>
      <x:c r="B106" s="30" t="str">
        <x:v>净利润归属分类差额2025</x:v>
      </x:c>
      <x:c r="C106" s="39" t="n">
        <x:f>Bridge!E42</x:f>
        <x:v>5.960464477539063e-8</x:v>
      </x:c>
      <x:c r="D106" s="30" t="n">
        <x:v>1</x:v>
      </x:c>
      <x:c r="E106" s="30" t="n">
        <x:v>181</x:v>
      </x:c>
      <x:c r="F106" s="30" t="str">
        <x:v>合并</x:v>
      </x:c>
      <x:c r="G106" s="30" t="str">
        <x:v>2025</x:v>
      </x:c>
      <x:c r="H106" s="30" t="str"/>
      <x:c r="I106" s="30"/>
    </x:row>
    <x:row r="107" ht="23" customHeight="1">
      <x:c r="A107" s="30" t="str">
        <x:v>DIRECT_CF_CONTROL_2024</x:v>
      </x:c>
      <x:c r="B107" s="30" t="str">
        <x:v>主表现金流入流出差额2024</x:v>
      </x:c>
      <x:c r="C107" s="39" t="n">
        <x:f>Bridge!D43</x:f>
        <x:v>-1.1920928955078125e-7</x:v>
      </x:c>
      <x:c r="D107" s="30" t="n">
        <x:v>1</x:v>
      </x:c>
      <x:c r="E107" s="30" t="n">
        <x:v>181</x:v>
      </x:c>
      <x:c r="F107" s="30" t="str">
        <x:v>合并</x:v>
      </x:c>
      <x:c r="G107" s="30" t="str">
        <x:v>2024</x:v>
      </x:c>
      <x:c r="H107" s="30" t="str"/>
      <x:c r="I107" s="30"/>
    </x:row>
    <x:row r="108" ht="23" customHeight="1">
      <x:c r="A108" s="30" t="str">
        <x:v>DIRECT_CF_CONTROL_2025</x:v>
      </x:c>
      <x:c r="B108" s="30" t="str">
        <x:v>主表现金流入流出差额2025</x:v>
      </x:c>
      <x:c r="C108" s="39" t="n">
        <x:f>Bridge!E43</x:f>
        <x:v>-3.5762786865234375e-7</x:v>
      </x:c>
      <x:c r="D108" s="30" t="n">
        <x:v>1</x:v>
      </x:c>
      <x:c r="E108" s="30" t="n">
        <x:v>181</x:v>
      </x:c>
      <x:c r="F108" s="30" t="str">
        <x:v>合并</x:v>
      </x:c>
      <x:c r="G108" s="30" t="str">
        <x:v>2025</x:v>
      </x:c>
      <x:c r="H108" s="30" t="str"/>
      <x:c r="I108" s="30"/>
    </x:row>
    <x:row r="109" ht="23" customHeight="1">
      <x:c r="A109" s="30" t="str">
        <x:v>CONTRIB_CONTROL</x:v>
      </x:c>
      <x:c r="B109" s="30" t="str">
        <x:v>逐项贡献合计与现金流同比差额</x:v>
      </x:c>
      <x:c r="C109" s="39" t="n">
        <x:f>Bridge!F44</x:f>
        <x:v>-1.7881393432617188e-7</x:v>
      </x:c>
      <x:c r="D109" s="30" t="n">
        <x:v>1</x:v>
      </x:c>
      <x:c r="E109" s="30" t="n">
        <x:v>181</x:v>
      </x:c>
      <x:c r="F109" s="30" t="str">
        <x:v>合并</x:v>
      </x:c>
      <x:c r="G109" s="30" t="str">
        <x:v>2025-2024</x:v>
      </x:c>
      <x:c r="H109" s="30" t="str"/>
      <x:c r="I109" s="30"/>
    </x:row>
    <x:row r="110" ht="23" customHeight="1">
      <x:c r="A110" s="30" t="str">
        <x:v>INV_NET_CONTROL_2024</x:v>
      </x:c>
      <x:c r="B110" s="30" t="str">
        <x:v>存货净额勾稽差额2024</x:v>
      </x:c>
      <x:c r="C110" s="39" t="n">
        <x:f>WC!D11</x:f>
        <x:v>0</x:v>
      </x:c>
      <x:c r="D110" s="30" t="n">
        <x:v>1</x:v>
      </x:c>
      <x:c r="E110" s="30" t="n">
        <x:v>140</x:v>
      </x:c>
      <x:c r="F110" s="30" t="str">
        <x:v>合并</x:v>
      </x:c>
      <x:c r="G110" s="30" t="str">
        <x:v>2024</x:v>
      </x:c>
      <x:c r="H110" s="30" t="str"/>
      <x:c r="I110" s="30"/>
    </x:row>
    <x:row r="111" ht="23" customHeight="1">
      <x:c r="A111" s="30" t="str">
        <x:v>INV_NET_CONTROL_2025</x:v>
      </x:c>
      <x:c r="B111" s="30" t="str">
        <x:v>存货净额勾稽差额2025</x:v>
      </x:c>
      <x:c r="C111" s="39" t="n">
        <x:f>WC!E11</x:f>
        <x:v>0</x:v>
      </x:c>
      <x:c r="D111" s="30" t="n">
        <x:v>1</x:v>
      </x:c>
      <x:c r="E111" s="30" t="n">
        <x:v>140</x:v>
      </x:c>
      <x:c r="F111" s="30" t="str">
        <x:v>合并</x:v>
      </x:c>
      <x:c r="G111" s="30" t="str">
        <x:v>2025</x:v>
      </x:c>
      <x:c r="H111" s="30" t="str"/>
      <x:c r="I111" s="30"/>
    </x:row>
    <x:row r="112" ht="23" customHeight="1">
      <x:c r="A112" s="30" t="str">
        <x:v>INV_ALLOW_CONTROL_2025</x:v>
      </x:c>
      <x:c r="B112" s="30" t="str">
        <x:v>存货准备滚动差额2025</x:v>
      </x:c>
      <x:c r="C112" s="39" t="n">
        <x:f>WC!E17</x:f>
        <x:v>-2.9802322387695312e-8</x:v>
      </x:c>
      <x:c r="D112" s="30" t="n">
        <x:v>1</x:v>
      </x:c>
      <x:c r="E112" s="30" t="n">
        <x:v>140</x:v>
      </x:c>
      <x:c r="F112" s="30" t="str">
        <x:v>合并</x:v>
      </x:c>
      <x:c r="G112" s="30" t="str">
        <x:v>2025</x:v>
      </x:c>
      <x:c r="H112" s="30" t="str"/>
      <x:c r="I112" s="30"/>
    </x:row>
    <x:row r="113" ht="23" customHeight="1">
      <x:c r="A113" s="30" t="str">
        <x:v>INV_NET_CF_CONTROL</x:v>
      </x:c>
      <x:c r="B113" s="30" t="str">
        <x:v>存货净额准备桥与披露差额</x:v>
      </x:c>
      <x:c r="C113" s="39" t="n">
        <x:f>WC!E24</x:f>
        <x:v>5.960464477539063e-8</x:v>
      </x:c>
      <x:c r="D113" s="30" t="n">
        <x:v>1</x:v>
      </x:c>
      <x:c r="E113" s="30" t="n">
        <x:v>140</x:v>
      </x:c>
      <x:c r="F113" s="30" t="str">
        <x:v>合并</x:v>
      </x:c>
      <x:c r="G113" s="30" t="str">
        <x:v>2025-2024</x:v>
      </x:c>
      <x:c r="H113" s="30" t="str"/>
      <x:c r="I113" s="30"/>
    </x:row>
    <x:row r="114" ht="23" customHeight="1">
      <x:c r="A114" s="30" t="str">
        <x:v>INV_GROSS_CF_CONTROL</x:v>
      </x:c>
      <x:c r="B114" s="30" t="str">
        <x:v>存货毛额准备桥与披露差额</x:v>
      </x:c>
      <x:c r="C114" s="39" t="n">
        <x:f>WC!E28</x:f>
        <x:v>0</x:v>
      </x:c>
      <x:c r="D114" s="30" t="n">
        <x:v>1</x:v>
      </x:c>
      <x:c r="E114" s="30" t="n">
        <x:v>140</x:v>
      </x:c>
      <x:c r="F114" s="30" t="str">
        <x:v>合并</x:v>
      </x:c>
      <x:c r="G114" s="30" t="str">
        <x:v>2025-2024</x:v>
      </x:c>
      <x:c r="H114" s="30" t="str"/>
      <x:c r="I114" s="30"/>
    </x:row>
    <x:row r="115" ht="23" customHeight="1">
      <x:c r="A115" s="30" t="str">
        <x:v>AR_NET_CONTROL_2024</x:v>
      </x:c>
      <x:c r="B115" s="30" t="str">
        <x:v>应收净额勾稽差额2024</x:v>
      </x:c>
      <x:c r="C115" s="39" t="n">
        <x:f>WC!D35</x:f>
        <x:v>-1.1920928955078125e-7</x:v>
      </x:c>
      <x:c r="D115" s="30" t="n">
        <x:v>1</x:v>
      </x:c>
      <x:c r="E115" s="30" t="n">
        <x:v>128</x:v>
      </x:c>
      <x:c r="F115" s="30" t="str">
        <x:v>合并</x:v>
      </x:c>
      <x:c r="G115" s="30" t="str">
        <x:v>2024</x:v>
      </x:c>
      <x:c r="H115" s="30" t="str"/>
      <x:c r="I115" s="30"/>
    </x:row>
    <x:row r="116" ht="23" customHeight="1">
      <x:c r="A116" s="30" t="str">
        <x:v>AR_NET_CONTROL_2025</x:v>
      </x:c>
      <x:c r="B116" s="30" t="str">
        <x:v>应收净额勾稽差额2025</x:v>
      </x:c>
      <x:c r="C116" s="39" t="n">
        <x:f>WC!E35</x:f>
        <x:v>0</x:v>
      </x:c>
      <x:c r="D116" s="30" t="n">
        <x:v>1</x:v>
      </x:c>
      <x:c r="E116" s="30" t="n">
        <x:v>128</x:v>
      </x:c>
      <x:c r="F116" s="30" t="str">
        <x:v>合并</x:v>
      </x:c>
      <x:c r="G116" s="30" t="str">
        <x:v>2025</x:v>
      </x:c>
      <x:c r="H116" s="30" t="str"/>
      <x:c r="I116" s="30"/>
    </x:row>
    <x:row r="117" ht="23" customHeight="1">
      <x:c r="A117" s="30" t="str">
        <x:v>CL_CONTROL_2024</x:v>
      </x:c>
      <x:c r="B117" s="30" t="str">
        <x:v>合同负债分项总额差额2024</x:v>
      </x:c>
      <x:c r="C117" s="39" t="n">
        <x:f>WC!D57</x:f>
        <x:v>5.960464477539063e-8</x:v>
      </x:c>
      <x:c r="D117" s="30" t="n">
        <x:v>1</x:v>
      </x:c>
      <x:c r="E117" s="30" t="n">
        <x:v>165</x:v>
      </x:c>
      <x:c r="F117" s="30" t="str">
        <x:v>合并</x:v>
      </x:c>
      <x:c r="G117" s="30" t="str">
        <x:v>2024</x:v>
      </x:c>
      <x:c r="H117" s="30" t="str"/>
      <x:c r="I117" s="30"/>
    </x:row>
    <x:row r="118" ht="23" customHeight="1">
      <x:c r="A118" s="30" t="str">
        <x:v>CL_CONTROL_2025</x:v>
      </x:c>
      <x:c r="B118" s="30" t="str">
        <x:v>合同负债分项总额差额2025</x:v>
      </x:c>
      <x:c r="C118" s="39" t="n">
        <x:f>WC!E57</x:f>
        <x:v>-5.960464477539063e-8</x:v>
      </x:c>
      <x:c r="D118" s="30" t="n">
        <x:v>1</x:v>
      </x:c>
      <x:c r="E118" s="30" t="n">
        <x:v>165</x:v>
      </x:c>
      <x:c r="F118" s="30" t="str">
        <x:v>合并</x:v>
      </x:c>
      <x:c r="G118" s="30" t="str">
        <x:v>2025</x:v>
      </x:c>
      <x:c r="H118" s="30" t="str"/>
      <x:c r="I118" s="30"/>
    </x:row>
    <x:row r="119" ht="23" customHeight="1">
      <x:c r="A119" s="30" t="str">
        <x:v>NP_CONTRIB</x:v>
      </x:c>
      <x:c r="B119" s="30" t="str">
        <x:v>净利润同比贡献</x:v>
      </x:c>
      <x:c r="C119" s="39" t="n">
        <x:f>Bridge!F20</x:f>
        <x:v>-169659396.27000004</x:v>
      </x:c>
      <x:c r="D119" s="30" t="n">
        <x:v>1</x:v>
      </x:c>
      <x:c r="E119" s="30" t="n">
        <x:v>181</x:v>
      </x:c>
      <x:c r="F119" s="30" t="str">
        <x:v>合并</x:v>
      </x:c>
      <x:c r="G119" s="30" t="str">
        <x:v>2025-2024</x:v>
      </x:c>
      <x:c r="H119" s="30" t="str">
        <x:v>净利润</x:v>
      </x:c>
      <x:c r="I119" s="30" t="n">
        <x:v>3</x:v>
      </x:c>
    </x:row>
    <x:row r="120" ht="23" customHeight="1">
      <x:c r="A120" s="30" t="str">
        <x:v>IMPAIRMENT_CONTRIB</x:v>
      </x:c>
      <x:c r="B120" s="30" t="str">
        <x:v>资产减值准备同比贡献</x:v>
      </x:c>
      <x:c r="C120" s="39" t="n">
        <x:f>Bridge!F21</x:f>
        <x:v>-2551633.219999999</x:v>
      </x:c>
      <x:c r="D120" s="30" t="n">
        <x:v>1</x:v>
      </x:c>
      <x:c r="E120" s="30" t="n">
        <x:v>181</x:v>
      </x:c>
      <x:c r="F120" s="30" t="str">
        <x:v>合并</x:v>
      </x:c>
      <x:c r="G120" s="30" t="str">
        <x:v>2025-2024</x:v>
      </x:c>
      <x:c r="H120" s="30" t="str">
        <x:v>非营运资本调整</x:v>
      </x:c>
      <x:c r="I120" s="30"/>
    </x:row>
    <x:row r="121" ht="23" customHeight="1">
      <x:c r="A121" s="30" t="str">
        <x:v>FA_DEPR_CONTRIB</x:v>
      </x:c>
      <x:c r="B121" s="30" t="str">
        <x:v>固定资产折旧等同比贡献</x:v>
      </x:c>
      <x:c r="C121" s="39" t="n">
        <x:f>Bridge!F22</x:f>
        <x:v>6089637.239999995</x:v>
      </x:c>
      <x:c r="D121" s="30" t="n">
        <x:v>1</x:v>
      </x:c>
      <x:c r="E121" s="30" t="n">
        <x:v>181</x:v>
      </x:c>
      <x:c r="F121" s="30" t="str">
        <x:v>合并</x:v>
      </x:c>
      <x:c r="G121" s="30" t="str">
        <x:v>2025-2024</x:v>
      </x:c>
      <x:c r="H121" s="30" t="str">
        <x:v>非营运资本调整</x:v>
      </x:c>
      <x:c r="I121" s="30"/>
    </x:row>
    <x:row r="122" ht="23" customHeight="1">
      <x:c r="A122" s="30" t="str">
        <x:v>ROU_DEPR_CONTRIB</x:v>
      </x:c>
      <x:c r="B122" s="30" t="str">
        <x:v>使用权资产折旧同比贡献</x:v>
      </x:c>
      <x:c r="C122" s="39" t="n">
        <x:f>Bridge!F23</x:f>
        <x:v>-1331011.8400000036</x:v>
      </x:c>
      <x:c r="D122" s="30" t="n">
        <x:v>1</x:v>
      </x:c>
      <x:c r="E122" s="30" t="n">
        <x:v>181</x:v>
      </x:c>
      <x:c r="F122" s="30" t="str">
        <x:v>合并</x:v>
      </x:c>
      <x:c r="G122" s="30" t="str">
        <x:v>2025-2024</x:v>
      </x:c>
      <x:c r="H122" s="30" t="str">
        <x:v>非营运资本调整</x:v>
      </x:c>
      <x:c r="I122" s="30"/>
    </x:row>
    <x:row r="123" ht="23" customHeight="1">
      <x:c r="A123" s="30" t="str">
        <x:v>INTANGIBLE_CONTRIB</x:v>
      </x:c>
      <x:c r="B123" s="30" t="str">
        <x:v>无形资产摊销同比贡献</x:v>
      </x:c>
      <x:c r="C123" s="39" t="n">
        <x:f>Bridge!F24</x:f>
        <x:v>28478791.42</x:v>
      </x:c>
      <x:c r="D123" s="30" t="n">
        <x:v>1</x:v>
      </x:c>
      <x:c r="E123" s="30" t="n">
        <x:v>181</x:v>
      </x:c>
      <x:c r="F123" s="30" t="str">
        <x:v>合并</x:v>
      </x:c>
      <x:c r="G123" s="30" t="str">
        <x:v>2025-2024</x:v>
      </x:c>
      <x:c r="H123" s="30" t="str">
        <x:v>非营运资本调整</x:v>
      </x:c>
      <x:c r="I123" s="30"/>
    </x:row>
    <x:row r="124" ht="23" customHeight="1">
      <x:c r="A124" s="30" t="str">
        <x:v>LT_AMORT_CONTRIB</x:v>
      </x:c>
      <x:c r="B124" s="30" t="str">
        <x:v>长期待摊费用摊销同比贡献</x:v>
      </x:c>
      <x:c r="C124" s="39" t="n">
        <x:f>Bridge!F25</x:f>
        <x:v>19380558.659999996</x:v>
      </x:c>
      <x:c r="D124" s="30" t="n">
        <x:v>1</x:v>
      </x:c>
      <x:c r="E124" s="30" t="n">
        <x:v>181</x:v>
      </x:c>
      <x:c r="F124" s="30" t="str">
        <x:v>合并</x:v>
      </x:c>
      <x:c r="G124" s="30" t="str">
        <x:v>2025-2024</x:v>
      </x:c>
      <x:c r="H124" s="30" t="str">
        <x:v>非营运资本调整</x:v>
      </x:c>
      <x:c r="I124" s="30"/>
    </x:row>
    <x:row r="125" ht="23" customHeight="1">
      <x:c r="A125" s="30" t="str">
        <x:v>DISPOSAL_CONTRIB</x:v>
      </x:c>
      <x:c r="B125" s="30" t="str">
        <x:v>处置长期资产损失（收益负列）同比贡献</x:v>
      </x:c>
      <x:c r="C125" s="39" t="n">
        <x:f>Bridge!F26</x:f>
        <x:v>-14548332.4</x:v>
      </x:c>
      <x:c r="D125" s="30" t="n">
        <x:v>1</x:v>
      </x:c>
      <x:c r="E125" s="30" t="n">
        <x:v>181</x:v>
      </x:c>
      <x:c r="F125" s="30" t="str">
        <x:v>合并</x:v>
      </x:c>
      <x:c r="G125" s="30" t="str">
        <x:v>2025-2024</x:v>
      </x:c>
      <x:c r="H125" s="30" t="str">
        <x:v>非营运资本调整</x:v>
      </x:c>
      <x:c r="I125" s="30"/>
    </x:row>
    <x:row r="126" ht="23" customHeight="1">
      <x:c r="A126" s="30" t="str">
        <x:v>SCRAP_CONTRIB</x:v>
      </x:c>
      <x:c r="B126" s="30" t="str">
        <x:v>固定资产报废损失同比贡献</x:v>
      </x:c>
      <x:c r="C126" s="39" t="n">
        <x:f>Bridge!F27</x:f>
        <x:v>13388743.459999999</x:v>
      </x:c>
      <x:c r="D126" s="30" t="n">
        <x:v>1</x:v>
      </x:c>
      <x:c r="E126" s="30" t="n">
        <x:v>181</x:v>
      </x:c>
      <x:c r="F126" s="30" t="str">
        <x:v>合并</x:v>
      </x:c>
      <x:c r="G126" s="30" t="str">
        <x:v>2025-2024</x:v>
      </x:c>
      <x:c r="H126" s="30" t="str">
        <x:v>非营运资本调整</x:v>
      </x:c>
      <x:c r="I126" s="30"/>
    </x:row>
    <x:row r="127" ht="23" customHeight="1">
      <x:c r="A127" s="30" t="str">
        <x:v>FV_CONTRIB</x:v>
      </x:c>
      <x:c r="B127" s="30" t="str">
        <x:v>公允价值变动损失同比贡献</x:v>
      </x:c>
      <x:c r="C127" s="39" t="n">
        <x:f>Bridge!F28</x:f>
        <x:v>-14241685.75</x:v>
      </x:c>
      <x:c r="D127" s="30" t="n">
        <x:v>1</x:v>
      </x:c>
      <x:c r="E127" s="30" t="n">
        <x:v>181</x:v>
      </x:c>
      <x:c r="F127" s="30" t="str">
        <x:v>合并</x:v>
      </x:c>
      <x:c r="G127" s="30" t="str">
        <x:v>2025-2024</x:v>
      </x:c>
      <x:c r="H127" s="30" t="str">
        <x:v>非营运资本调整</x:v>
      </x:c>
      <x:c r="I127" s="30"/>
    </x:row>
    <x:row r="128" ht="23" customHeight="1">
      <x:c r="A128" s="30" t="str">
        <x:v>FINANCE_CONTRIB</x:v>
      </x:c>
      <x:c r="B128" s="30" t="str">
        <x:v>财务费用（收益负列）同比贡献</x:v>
      </x:c>
      <x:c r="C128" s="39" t="n">
        <x:f>Bridge!F29</x:f>
        <x:v>-808253.040000001</x:v>
      </x:c>
      <x:c r="D128" s="30" t="n">
        <x:v>1</x:v>
      </x:c>
      <x:c r="E128" s="30" t="n">
        <x:v>181</x:v>
      </x:c>
      <x:c r="F128" s="30" t="str">
        <x:v>合并</x:v>
      </x:c>
      <x:c r="G128" s="30" t="str">
        <x:v>2025-2024</x:v>
      </x:c>
      <x:c r="H128" s="30" t="str">
        <x:v>非营运资本调整</x:v>
      </x:c>
      <x:c r="I128" s="30"/>
    </x:row>
    <x:row r="129" ht="23" customHeight="1">
      <x:c r="A129" s="30" t="str">
        <x:v>INVESTMENT_CONTRIB</x:v>
      </x:c>
      <x:c r="B129" s="30" t="str">
        <x:v>投资损失（收益负列）同比贡献</x:v>
      </x:c>
      <x:c r="C129" s="39" t="n">
        <x:f>Bridge!F30</x:f>
        <x:v>-7004442.200000001</x:v>
      </x:c>
      <x:c r="D129" s="30" t="n">
        <x:v>1</x:v>
      </x:c>
      <x:c r="E129" s="30" t="n">
        <x:v>140</x:v>
      </x:c>
      <x:c r="F129" s="30" t="str">
        <x:v>合并</x:v>
      </x:c>
      <x:c r="G129" s="30" t="str">
        <x:v>2025-2024</x:v>
      </x:c>
      <x:c r="H129" s="30" t="str">
        <x:v>非营运资本调整</x:v>
      </x:c>
      <x:c r="I129" s="30"/>
    </x:row>
    <x:row r="130" ht="23" customHeight="1">
      <x:c r="A130" s="30" t="str">
        <x:v>DTA_CONTRIB</x:v>
      </x:c>
      <x:c r="B130" s="30" t="str">
        <x:v>递延所得税资产减少同比贡献</x:v>
      </x:c>
      <x:c r="C130" s="39" t="n">
        <x:f>Bridge!F31</x:f>
        <x:v>-17106203.02</x:v>
      </x:c>
      <x:c r="D130" s="30" t="n">
        <x:v>1</x:v>
      </x:c>
      <x:c r="E130" s="30" t="n">
        <x:v>181</x:v>
      </x:c>
      <x:c r="F130" s="30" t="str">
        <x:v>合并</x:v>
      </x:c>
      <x:c r="G130" s="30" t="str">
        <x:v>2025-2024</x:v>
      </x:c>
      <x:c r="H130" s="30" t="str">
        <x:v>非营运资本调整</x:v>
      </x:c>
      <x:c r="I130" s="30"/>
    </x:row>
    <x:row r="131" ht="23" customHeight="1">
      <x:c r="A131" s="30" t="str">
        <x:v>DTL_CONTRIB</x:v>
      </x:c>
      <x:c r="B131" s="30" t="str">
        <x:v>递延所得税负债增加同比贡献</x:v>
      </x:c>
      <x:c r="C131" s="39" t="n">
        <x:f>Bridge!F32</x:f>
        <x:v>1579965.2400000002</x:v>
      </x:c>
      <x:c r="D131" s="30" t="n">
        <x:v>1</x:v>
      </x:c>
      <x:c r="E131" s="30" t="n">
        <x:v>181</x:v>
      </x:c>
      <x:c r="F131" s="30" t="str">
        <x:v>合并</x:v>
      </x:c>
      <x:c r="G131" s="30" t="str">
        <x:v>2025-2024</x:v>
      </x:c>
      <x:c r="H131" s="30" t="str">
        <x:v>非营运资本调整</x:v>
      </x:c>
      <x:c r="I131" s="30"/>
    </x:row>
    <x:row r="132" ht="23" customHeight="1">
      <x:c r="A132" s="30" t="str">
        <x:v>INVENTORY_CF_CONTRIB</x:v>
      </x:c>
      <x:c r="B132" s="30" t="str">
        <x:v>存货的减少同比贡献</x:v>
      </x:c>
      <x:c r="C132" s="39" t="n">
        <x:f>Bridge!F33</x:f>
        <x:v>-18238287.71000001</x:v>
      </x:c>
      <x:c r="D132" s="30" t="n">
        <x:v>1</x:v>
      </x:c>
      <x:c r="E132" s="30" t="n">
        <x:v>140</x:v>
      </x:c>
      <x:c r="F132" s="30" t="str">
        <x:v>合并</x:v>
      </x:c>
      <x:c r="G132" s="30" t="str">
        <x:v>2025-2024</x:v>
      </x:c>
      <x:c r="H132" s="30" t="str">
        <x:v>营运资本调整</x:v>
      </x:c>
      <x:c r="I132" s="30"/>
    </x:row>
    <x:row r="133" ht="23" customHeight="1">
      <x:c r="A133" s="30" t="str">
        <x:v>RECEIVABLE_CF_CONTRIB</x:v>
      </x:c>
      <x:c r="B133" s="30" t="str">
        <x:v>经营性应收项目的减少同比贡献</x:v>
      </x:c>
      <x:c r="C133" s="39" t="n">
        <x:f>Bridge!F34</x:f>
        <x:v>307691573.84999996</x:v>
      </x:c>
      <x:c r="D133" s="30" t="n">
        <x:v>1</x:v>
      </x:c>
      <x:c r="E133" s="30" t="n">
        <x:v>181</x:v>
      </x:c>
      <x:c r="F133" s="30" t="str">
        <x:v>合并</x:v>
      </x:c>
      <x:c r="G133" s="30" t="str">
        <x:v>2025-2024</x:v>
      </x:c>
      <x:c r="H133" s="30" t="str">
        <x:v>营运资本调整</x:v>
      </x:c>
      <x:c r="I133" s="30" t="n">
        <x:v>1</x:v>
      </x:c>
    </x:row>
    <x:row r="134" ht="23" customHeight="1">
      <x:c r="A134" s="30" t="str">
        <x:v>PAYABLE_CF_CONTRIB</x:v>
      </x:c>
      <x:c r="B134" s="30" t="str">
        <x:v>经营性应付项目的增加同比贡献</x:v>
      </x:c>
      <x:c r="C134" s="39" t="n">
        <x:f>Bridge!F35</x:f>
        <x:v>-196865614.47</x:v>
      </x:c>
      <x:c r="D134" s="30" t="n">
        <x:v>1</x:v>
      </x:c>
      <x:c r="E134" s="30" t="n">
        <x:v>181</x:v>
      </x:c>
      <x:c r="F134" s="30" t="str">
        <x:v>合并</x:v>
      </x:c>
      <x:c r="G134" s="30" t="str">
        <x:v>2025-2024</x:v>
      </x:c>
      <x:c r="H134" s="30" t="str">
        <x:v>营运资本调整</x:v>
      </x:c>
      <x:c r="I134" s="30" t="n">
        <x:v>2</x:v>
      </x:c>
    </x:row>
    <x:row r="135" ht="23" customHeight="1">
      <x:c r="A135" s="30" t="str">
        <x:v>OTHER_CONTRIB</x:v>
      </x:c>
      <x:c r="B135" s="30" t="str">
        <x:v>其他同比贡献</x:v>
      </x:c>
      <x:c r="C135" s="39" t="n">
        <x:f>Bridge!F36</x:f>
        <x:v>0</x:v>
      </x:c>
      <x:c r="D135" s="30" t="n">
        <x:v>1</x:v>
      </x:c>
      <x:c r="E135" s="30" t="n">
        <x:v>181</x:v>
      </x:c>
      <x:c r="F135" s="30" t="str">
        <x:v>合并</x:v>
      </x:c>
      <x:c r="G135" s="30" t="str">
        <x:v>2025-2024</x:v>
      </x:c>
      <x:c r="H135" s="30" t="str">
        <x:v>非营运资本调整</x:v>
      </x:c>
      <x:c r="I135" s="30"/>
    </x:row>
    <x:row r="136" ht="23" customHeight="1">
      <x:c r="A136" s="30" t="str">
        <x:v>NONWC_DELTA</x:v>
      </x:c>
      <x:c r="B136" s="30" t="str">
        <x:v>非营运资本调整同比贡献</x:v>
      </x:c>
      <x:c r="C136" s="39" t="n">
        <x:f>Bridge!F8</x:f>
        <x:v>11326134.550000072</x:v>
      </x:c>
      <x:c r="D136" s="30" t="n">
        <x:v>1</x:v>
      </x:c>
      <x:c r="E136" s="30" t="n">
        <x:v>181</x:v>
      </x:c>
      <x:c r="F136" s="30" t="str">
        <x:v>合并</x:v>
      </x:c>
      <x:c r="G136" s="30" t="str">
        <x:v>2025-2024</x:v>
      </x:c>
      <x:c r="H136" s="30" t="str"/>
      <x:c r="I136" s="30"/>
    </x:row>
    <x:row r="137" ht="23" customHeight="1">
      <x:c r="A137" s="30" t="str">
        <x:v>INV_GROSS_DELTA</x:v>
      </x:c>
      <x:c r="B137" s="30" t="str">
        <x:v>存货毛额期末减期初</x:v>
      </x:c>
      <x:c r="C137" s="39" t="n">
        <x:f>WC!F7</x:f>
        <x:v>100592070.47000003</x:v>
      </x:c>
      <x:c r="D137" s="30" t="n">
        <x:v>1</x:v>
      </x:c>
      <x:c r="E137" s="30" t="n">
        <x:v>140</x:v>
      </x:c>
      <x:c r="F137" s="30" t="str">
        <x:v>合并</x:v>
      </x:c>
      <x:c r="G137" s="30" t="str">
        <x:v>2025-2024</x:v>
      </x:c>
      <x:c r="H137" s="30" t="str"/>
      <x:c r="I137" s="30"/>
    </x:row>
    <x:row r="138" ht="23" customHeight="1">
      <x:c r="A138" s="30" t="str">
        <x:v>INV_ALLOW_DELTA</x:v>
      </x:c>
      <x:c r="B138" s="30" t="str">
        <x:v>存货准备期末减期初</x:v>
      </x:c>
      <x:c r="C138" s="39" t="n">
        <x:f>WC!F8</x:f>
        <x:v>29010497.940000013</x:v>
      </x:c>
      <x:c r="D138" s="30" t="n">
        <x:v>1</x:v>
      </x:c>
      <x:c r="E138" s="30" t="n">
        <x:v>140</x:v>
      </x:c>
      <x:c r="F138" s="30" t="str">
        <x:v>合并</x:v>
      </x:c>
      <x:c r="G138" s="30" t="str">
        <x:v>2025-2024</x:v>
      </x:c>
      <x:c r="H138" s="30" t="str"/>
      <x:c r="I138" s="30"/>
    </x:row>
    <x:row r="139" ht="23" customHeight="1">
      <x:c r="A139" s="30" t="str">
        <x:v>AR_GROSS_DELTA</x:v>
      </x:c>
      <x:c r="B139" s="30" t="str">
        <x:v>应收毛额期末减期初</x:v>
      </x:c>
      <x:c r="C139" s="39" t="n">
        <x:f>WC!F31</x:f>
        <x:v>-63585248.82999992</x:v>
      </x:c>
      <x:c r="D139" s="30" t="n">
        <x:v>1</x:v>
      </x:c>
      <x:c r="E139" s="30" t="n">
        <x:v>128</x:v>
      </x:c>
      <x:c r="F139" s="30" t="str">
        <x:v>合并</x:v>
      </x:c>
      <x:c r="G139" s="30" t="str">
        <x:v>2025-2024</x:v>
      </x:c>
      <x:c r="H139" s="30" t="str"/>
      <x:c r="I139" s="30"/>
    </x:row>
    <x:row r="140" ht="23" customHeight="1">
      <x:c r="A140" s="30" t="str">
        <x:v>AR_ALLOW_DELTA</x:v>
      </x:c>
      <x:c r="B140" s="30" t="str">
        <x:v>应收准备期末减期初</x:v>
      </x:c>
      <x:c r="C140" s="39" t="n">
        <x:f>WC!F32</x:f>
        <x:v>-13032030.679999992</x:v>
      </x:c>
      <x:c r="D140" s="30" t="n">
        <x:v>1</x:v>
      </x:c>
      <x:c r="E140" s="30" t="n">
        <x:v>128</x:v>
      </x:c>
      <x:c r="F140" s="30" t="str">
        <x:v>合并</x:v>
      </x:c>
      <x:c r="G140" s="30" t="str">
        <x:v>2025-2024</x:v>
      </x:c>
      <x:c r="H140" s="30" t="str"/>
      <x:c r="I140" s="30"/>
    </x:row>
    <x:row r="141" ht="23" customHeight="1">
      <x:c r="A141" s="30" t="str">
        <x:v>AR_NET_DELTA</x:v>
      </x:c>
      <x:c r="B141" s="30" t="str">
        <x:v>应收净额期末减期初</x:v>
      </x:c>
      <x:c r="C141" s="39" t="n">
        <x:f>WC!F34</x:f>
        <x:v>-50553218.149999976</x:v>
      </x:c>
      <x:c r="D141" s="30" t="n">
        <x:v>1</x:v>
      </x:c>
      <x:c r="E141" s="30" t="n">
        <x:v>128</x:v>
      </x:c>
      <x:c r="F141" s="30" t="str">
        <x:v>合并</x:v>
      </x:c>
      <x:c r="G141" s="30" t="str">
        <x:v>2025-2024</x:v>
      </x:c>
      <x:c r="H141" s="30" t="str"/>
      <x:c r="I141" s="30"/>
    </x:row>
    <x:row r="142" ht="23" customHeight="1">
      <x:c r="A142" s="30" t="str">
        <x:v>AP_DELTA</x:v>
      </x:c>
      <x:c r="B142" s="30" t="str">
        <x:v>应付账款期末减期初</x:v>
      </x:c>
      <x:c r="C142" s="39" t="n">
        <x:f>WC!E43</x:f>
        <x:v>31829849.660000026</x:v>
      </x:c>
      <x:c r="D142" s="30" t="n">
        <x:v>1</x:v>
      </x:c>
      <x:c r="E142" s="30" t="n">
        <x:v>163</x:v>
      </x:c>
      <x:c r="F142" s="30" t="str">
        <x:v>合并</x:v>
      </x:c>
      <x:c r="G142" s="30" t="str">
        <x:v>2025-2024</x:v>
      </x:c>
      <x:c r="H142" s="30" t="str"/>
      <x:c r="I142" s="30"/>
    </x:row>
    <x:row r="143" ht="23" customHeight="1">
      <x:c r="A143" s="30" t="str">
        <x:v>CL_CUSTOMER_DELTA</x:v>
      </x:c>
      <x:c r="B143" s="30" t="str">
        <x:v>客户预收期末减期初</x:v>
      </x:c>
      <x:c r="C143" s="39" t="n">
        <x:f>WC!F52</x:f>
        <x:v>19965809.27999997</x:v>
      </x:c>
      <x:c r="D143" s="30" t="n">
        <x:v>1</x:v>
      </x:c>
      <x:c r="E143" s="30" t="n">
        <x:v>165</x:v>
      </x:c>
      <x:c r="F143" s="30" t="str">
        <x:v>合并</x:v>
      </x:c>
      <x:c r="G143" s="30" t="str">
        <x:v>2025-2024</x:v>
      </x:c>
      <x:c r="H143" s="30" t="str"/>
      <x:c r="I143" s="30"/>
    </x:row>
    <x:row r="144" ht="23" customHeight="1">
      <x:c r="A144" s="30" t="str">
        <x:v>CL_CARD_DELTA</x:v>
      </x:c>
      <x:c r="B144" s="30" t="str">
        <x:v>贵宾卡期末减期初</x:v>
      </x:c>
      <x:c r="C144" s="39" t="n">
        <x:f>WC!F53</x:f>
        <x:v>-592623.7800000012</x:v>
      </x:c>
      <x:c r="D144" s="30" t="n">
        <x:v>1</x:v>
      </x:c>
      <x:c r="E144" s="30" t="n">
        <x:v>165</x:v>
      </x:c>
      <x:c r="F144" s="30" t="str">
        <x:v>合并</x:v>
      </x:c>
      <x:c r="G144" s="30" t="str">
        <x:v>2025-2024</x:v>
      </x:c>
      <x:c r="H144" s="30" t="str"/>
      <x:c r="I144" s="30"/>
    </x:row>
    <x:row r="145" ht="23" customHeight="1">
      <x:c r="A145" s="30" t="str">
        <x:v>CL_OTHER_DELTA</x:v>
      </x:c>
      <x:c r="B145" s="30" t="str">
        <x:v>其他合同负债期末减期初</x:v>
      </x:c>
      <x:c r="C145" s="39" t="n">
        <x:f>WC!F54</x:f>
        <x:v>14331706.77</x:v>
      </x:c>
      <x:c r="D145" s="30" t="n">
        <x:v>1</x:v>
      </x:c>
      <x:c r="E145" s="30" t="n">
        <x:v>165</x:v>
      </x:c>
      <x:c r="F145" s="30" t="str">
        <x:v>合并</x:v>
      </x:c>
      <x:c r="G145" s="30" t="str">
        <x:v>2025-2024</x:v>
      </x:c>
      <x:c r="H145" s="30" t="str"/>
      <x:c r="I145" s="30"/>
    </x:row>
  </x:sheetData>
  <x:pageMargins left="0.7" right="0.7" top="0.75" bottom="0.75" header="0.3" footer="0.3"/>
</x:worksheet>
</file>
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分配模型" sheetId="1" state="visible" r:id="rId1"/>
    <sheet xmlns:r="http://schemas.openxmlformats.org/officeDocument/2006/relationships" name="敏感性" sheetId="2" state="visible" r:id="rId2"/>
    <sheet xmlns:r="http://schemas.openxmlformats.org/officeDocument/2006/relationships" name="披露数据" sheetId="3" state="visible" r:id="rId3"/>
  </sheets>
  <definedNames>
    <definedName name="metric_np">'披露数据'!$B$5</definedName>
    <definedName name="metric_da">'披露数据'!$B$6</definedName>
    <definedName name="metric_interest">'披露数据'!$B$7</definedName>
    <definedName name="metric_tax">'披露数据'!$B$8</definedName>
    <definedName name="metric_ebitda_control">'披露数据'!$B$9</definedName>
    <definedName name="metric_wc">'披露数据'!$B$10</definedName>
    <definedName name="metric_other">'披露数据'!$B$11</definedName>
    <definedName name="metric_capex">'披露数据'!$B$12</definedName>
    <definedName name="metric_principal">'披露数据'!$B$13</definedName>
    <definedName name="metric_cash_interest_tax">'披露数据'!$B$14</definedName>
    <definedName name="metric_old_reserve">'披露数据'!$B$15</definedName>
    <definedName name="metric_d_control">'披露数据'!$B$16</definedName>
    <definedName name="metric_revenue">'披露数据'!$B$17</definedName>
    <definedName name="metric_project_ebitda">'披露数据'!$B$18</definedName>
    <definedName name="metric_cash_in">'披露数据'!$B$19</definedName>
    <definedName name="metric_cash_out">'披露数据'!$B$20</definedName>
    <definedName name="metric_cash_control">'披露数据'!$B$21</definedName>
    <definedName name="metric_fund_cash">'披露数据'!$B$22</definedName>
    <definedName name="metric_fund_income">'披露数据'!$B$23</definedName>
    <definedName name="metric_shares">'披露数据'!$B$24</definedName>
    <definedName name="metric_actual_paid">'披露数据'!$B$25</definedName>
    <definedName name="metric_ratio">'披露数据'!$B$26</definedName>
    <definedName name="metric_management_fee">'披露数据'!$B$27</definedName>
    <definedName name="metric_custody_fee">'披露数据'!$B$28</definedName>
    <definedName name="metric_operator_fee">'披露数据'!$B$29</definedName>
    <definedName name="metric_selector">'分配模型'!$B$4</definedName>
    <definedName name="metric_custom_decline">'分配模型'!$B$23</definedName>
    <definedName name="metric_custom_reserve">'分配模型'!$B$27</definedName>
    <definedName name="metric_proposed_input">'分配模型'!$B$28</definedName>
    <definedName name="metric_D">'分配模型'!$B$6</definedName>
    <definedName name="metric_lower">'分配模型'!$B$7</definedName>
    <definedName name="metric_upper">'分配模型'!$B$8</definedName>
    <definedName name="metric_positive">'分配模型'!$B$8</definedName>
    <definedName name="metric_per_unit">'分配模型'!$B$9</definedName>
    <definedName name="metric_proposed">'分配模型'!$B$10</definedName>
    <definedName name="metric_upper_margin">'分配模型'!$B$11</definedName>
    <definedName name="metric_lower_margin">'分配模型'!$B$12</definedName>
    <definedName name="metric_decision">'分配模型'!$B$13</definedName>
    <definedName name="metric_budget">'分配模型'!$B$14</definedName>
    <definedName name="metric_remaining">'分配模型'!$B$15</definedName>
    <definedName name="metric_historical">'分配模型'!$B$53</definedName>
    <definedName name="metric_ebitda">'分配模型'!$B$45</definedName>
    <definedName name="metric_pre_reserve">'分配模型'!$B$51</definedName>
    <definedName name="metric_project_cash">'分配模型'!$B$58</definedName>
    <definedName name="metric_scope_difference">'分配模型'!$B$60</definedName>
    <definedName name="metric_historical_per_unit">'分配模型'!$B$61</definedName>
    <definedName name="metric_ebitda_variance">'分配模型'!$B$56</definedName>
    <definedName name="metric_d_variance">'分配模型'!$B$57</definedName>
    <definedName name="metric_cash_variance">'分配模型'!$B$59</definedName>
    <definedName name="metric_sensitivity_D_d00_r0">'敏感性'!$C$7</definedName>
    <definedName name="metric_sensitivity_margin_d00_r0">'敏感性'!$C$16</definedName>
    <definedName name="metric_sensitivity_D_d00_r500">'敏感性'!$D$7</definedName>
    <definedName name="metric_sensitivity_margin_d00_r500">'敏感性'!$D$16</definedName>
    <definedName name="metric_sensitivity_D_d00_r1000">'敏感性'!$E$7</definedName>
    <definedName name="metric_sensitivity_margin_d00_r1000">'敏感性'!$E$16</definedName>
    <definedName name="metric_sensitivity_D_d05_r0">'敏感性'!$C$8</definedName>
    <definedName name="metric_sensitivity_margin_d05_r0">'敏感性'!$C$17</definedName>
    <definedName name="metric_sensitivity_D_d05_r500">'敏感性'!$D$8</definedName>
    <definedName name="metric_sensitivity_margin_d05_r500">'敏感性'!$D$17</definedName>
    <definedName name="metric_sensitivity_D_d05_r1000">'敏感性'!$E$8</definedName>
    <definedName name="metric_sensitivity_margin_d05_r1000">'敏感性'!$E$17</definedName>
    <definedName name="metric_sensitivity_D_d10_r0">'敏感性'!$C$9</definedName>
    <definedName name="metric_sensitivity_margin_d10_r0">'敏感性'!$C$18</definedName>
    <definedName name="metric_sensitivity_D_d10_r500">'敏感性'!$D$9</definedName>
    <definedName name="metric_sensitivity_margin_d10_r500">'敏感性'!$D$18</definedName>
    <definedName name="metric_sensitivity_D_d10_r1000">'敏感性'!$E$9</definedName>
    <definedName name="metric_sensitivity_margin_d10_r1000">'敏感性'!$E$18</definedName>
    <definedName name="metric_sensitivity_D_d15_r0">'敏感性'!$C$10</definedName>
    <definedName name="metric_sensitivity_margin_d15_r0">'敏感性'!$C$19</definedName>
    <definedName name="metric_sensitivity_D_d15_r500">'敏感性'!$D$10</definedName>
    <definedName name="metric_sensitivity_margin_d15_r500">'敏感性'!$D$19</definedName>
    <definedName name="metric_sensitivity_D_d15_r1000">'敏感性'!$E$10</definedName>
    <definedName name="metric_sensitivity_margin_d15_r1000">'敏感性'!$E$19</definedName>
    <definedName name="metric_sensitivity_D_d20_r0">'敏感性'!$C$11</definedName>
    <definedName name="metric_sensitivity_margin_d20_r0">'敏感性'!$C$20</definedName>
    <definedName name="metric_sensitivity_D_d20_r500">'敏感性'!$D$11</definedName>
    <definedName name="metric_sensitivity_margin_d20_r500">'敏感性'!$D$20</definedName>
    <definedName name="metric_sensitivity_D_d20_r1000">'敏感性'!$E$11</definedName>
    <definedName name="metric_sensitivity_margin_d20_r1000">'敏感性'!$E$20</definedName>
  </definedNames>
</workbook>
</file>

<file path=xl/styles.xml><?xml version="1.0" encoding="utf-8"?>
<styleSheet xmlns="http://schemas.openxmlformats.org/spreadsheetml/2006/main">
  <numFmts count="4">
    <numFmt numFmtId="164" formatCode="#,##0.00;(#,##0.00);&quot;-&quot;"/>
    <numFmt numFmtId="165" formatCode="0.00000000"/>
    <numFmt numFmtId="166" formatCode="0.0%"/>
    <numFmt numFmtId="167" formatCode="0.0000000000"/>
  </numFmts>
  <fonts count="14">
    <font>
      <name val="Carlito"/>
      <sz val="11"/>
    </font>
    <font>
      <name val="Carlito"/>
      <b val="1"/>
      <color rgb="FF243746"/>
      <sz val="15"/>
    </font>
    <font>
      <name val="Arial"/>
      <sz val="11"/>
    </font>
    <font>
      <name val="Arial"/>
      <b val="1"/>
      <color rgb="FF243746"/>
      <sz val="15"/>
    </font>
    <font>
      <name val="Arial"/>
      <b val="1"/>
      <color rgb="FF243746"/>
      <sz val="11"/>
    </font>
    <font>
      <name val="Arial"/>
      <i val="1"/>
      <sz val="11"/>
    </font>
    <font>
      <name val="Arial"/>
      <color rgb="FF0000FF"/>
      <sz val="11"/>
    </font>
    <font>
      <name val="Arial"/>
      <color rgb="FF000000"/>
      <sz val="11"/>
    </font>
    <font>
      <name val="Arial"/>
      <b val="1"/>
      <color rgb="FFFFFFFF"/>
      <sz val="11"/>
    </font>
    <font>
      <name val="Arial"/>
      <color rgb="FF008000"/>
      <sz val="11"/>
    </font>
    <font>
      <name val="Arial"/>
      <color rgb="FF243746"/>
      <sz val="11"/>
    </font>
    <font>
      <name val="Arial"/>
      <b val="1"/>
      <sz val="11"/>
    </font>
    <font>
      <name val="Arial"/>
      <b val="1"/>
      <color rgb="FF000000"/>
      <sz val="11"/>
    </font>
    <font>
      <name val="Noto Sans CJK SC"/>
      <sz val="11"/>
    </font>
  </fonts>
  <fills count="4">
    <fill>
      <patternFill/>
    </fill>
    <fill>
      <patternFill patternType="gray125"/>
    </fill>
    <fill>
      <patternFill patternType="solid">
        <fgColor rgb="FFFFF3CC"/>
      </patternFill>
    </fill>
    <fill>
      <patternFill patternType="solid">
        <fgColor rgb="FF243746"/>
      </patternFill>
    </fill>
  </fills>
  <borders count="2">
    <border/>
    <border>
      <bottom style="thin">
        <color rgb="FFAAB5BF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165" fontId="9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165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4" fontId="2" fillId="3" borderId="0" applyAlignment="1" pivotButton="0" quotePrefix="0" xfId="0">
      <alignment vertical="center"/>
    </xf>
    <xf numFmtId="164" fontId="8" fillId="3" borderId="0" applyAlignment="1" pivotButton="0" quotePrefix="0" xfId="0">
      <alignment vertical="center"/>
    </xf>
    <xf numFmtId="164" fontId="2" fillId="2" borderId="0" applyAlignment="1" pivotButton="0" quotePrefix="0" xfId="0">
      <alignment vertical="center"/>
    </xf>
    <xf numFmtId="164" fontId="6" fillId="2" borderId="0" applyAlignment="1" pivotButton="0" quotePrefix="0" xfId="0">
      <alignment vertical="center"/>
    </xf>
    <xf numFmtId="166" fontId="7" fillId="0" borderId="0" applyAlignment="1" pivotButton="0" quotePrefix="0" xfId="0">
      <alignment vertical="center"/>
    </xf>
    <xf numFmtId="166" fontId="6" fillId="2" borderId="0" applyAlignment="1" pivotButton="0" quotePrefix="0" xfId="0">
      <alignment vertical="center"/>
    </xf>
    <xf numFmtId="166" fontId="12" fillId="0" borderId="0" applyAlignment="1" pivotButton="0" quotePrefix="0" xfId="0">
      <alignment vertical="center"/>
    </xf>
    <xf numFmtId="164" fontId="12" fillId="0" borderId="0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164" fontId="12" fillId="0" borderId="1" applyAlignment="1" pivotButton="0" quotePrefix="0" xfId="0">
      <alignment vertical="center"/>
    </xf>
    <xf numFmtId="2" fontId="9" fillId="0" borderId="0" applyAlignment="1" pivotButton="0" quotePrefix="0" xfId="0">
      <alignment vertical="center"/>
    </xf>
    <xf numFmtId="2" fontId="7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4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67" fontId="13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10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4" fontId="8" fillId="3" borderId="0" applyAlignment="1" pivotButton="0" quotePrefix="0" xfId="0">
      <alignment vertical="center"/>
    </xf>
    <xf numFmtId="166" fontId="12" fillId="0" borderId="0" applyAlignment="1" pivotButton="0" quotePrefix="0" xfId="0">
      <alignment vertical="center"/>
    </xf>
    <xf numFmtId="166" fontId="6" fillId="2" borderId="0" applyAlignment="1" pivotButton="0" quotePrefix="0" xfId="0">
      <alignment vertical="center"/>
    </xf>
    <xf numFmtId="164" fontId="12" fillId="0" borderId="0" applyAlignment="1" pivotButton="0" quotePrefix="0" xfId="0">
      <alignment vertical="center"/>
    </xf>
    <xf numFmtId="164" fontId="6" fillId="2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166" fontId="7" fillId="0" borderId="0" applyAlignment="1" pivotButton="0" quotePrefix="0" xfId="0">
      <alignment vertical="center"/>
    </xf>
    <xf numFmtId="164" fontId="12" fillId="0" borderId="1" applyAlignment="1" pivotButton="0" quotePrefix="0" xfId="0">
      <alignment vertical="center"/>
    </xf>
    <xf numFmtId="2" fontId="7" fillId="0" borderId="0" applyAlignment="1" pivotButton="0" quotePrefix="0" xfId="0">
      <alignment vertical="center"/>
    </xf>
    <xf numFmtId="167" fontId="13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4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vertical="center"/>
    </xf>
  </cellXfs>
  <cellStyles count="1">
    <cellStyle name="Normal" xfId="0"/>
  </cellStyles>
  <dxfs count="3">
    <dxf>
      <font>
        <b val="1"/>
        <color rgb="FF9C0006"/>
      </font>
      <fill>
        <patternFill>
          <bgColor rgb="FFFFE1E1"/>
        </patternFill>
      </fill>
    </dxf>
    <dxf>
      <font>
        <b val="1"/>
        <color rgb="FF9C0006"/>
      </font>
      <fill>
        <patternFill>
          <bgColor rgb="FFFFE1E1"/>
        </patternFill>
      </fill>
    </dxf>
    <dxf>
      <font>
        <color rgb="FF9C0006"/>
      </font>
      <fill>
        <patternFill>
          <bgColor rgb="FFFFE1E1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43746"/>
    <outlinePr summaryBelow="1" summaryRight="1"/>
    <pageSetUpPr/>
  </sheetPr>
  <dimension ref="A1:D61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38" customWidth="1" min="1" max="1"/>
    <col width="25" customWidth="1" min="2" max="2"/>
    <col width="53" customWidth="1" min="3" max="3"/>
  </cols>
  <sheetData>
    <row r="1" ht="25" customHeight="1">
      <c r="A1" s="5" t="n"/>
      <c r="B1" s="5" t="n"/>
      <c r="C1" s="5" t="n"/>
      <c r="D1" s="5" t="n"/>
    </row>
    <row r="2" ht="25" customHeight="1">
      <c r="A2" s="6" t="inlineStr">
        <is>
          <t>万国数据中心 REIT 分配模型</t>
        </is>
      </c>
      <c r="B2" s="5" t="n"/>
      <c r="C2" s="5" t="n"/>
      <c r="D2" s="5" t="n"/>
    </row>
    <row r="3" ht="25" customHeight="1">
      <c r="A3" s="8" t="inlineStr">
        <is>
          <t>人民币元；2025 披露基础与分配测算</t>
        </is>
      </c>
      <c r="B3" s="8" t="n"/>
      <c r="C3" s="8" t="n"/>
      <c r="D3" s="5" t="n"/>
    </row>
    <row r="4" ht="25" customHeight="1">
      <c r="A4" s="5" t="inlineStr">
        <is>
          <t>情景选择</t>
        </is>
      </c>
      <c r="B4" s="10" t="n">
        <v>1</v>
      </c>
      <c r="C4" s="11">
        <f>IF(AND(ISNUMBER(B4),B4&gt;=1,B4&lt;=3,B4=INT(B4)),CHOOSE(B4,"基准","压力","自定义"),"输入不可用")</f>
        <v/>
      </c>
      <c r="D4" s="5" t="n"/>
    </row>
    <row r="5" ht="26" customHeight="1">
      <c r="A5" s="13" t="inlineStr">
        <is>
          <t>活动结果</t>
        </is>
      </c>
      <c r="B5" s="13" t="inlineStr">
        <is>
          <t>金额 / 状态</t>
        </is>
      </c>
      <c r="C5" s="13" t="inlineStr">
        <is>
          <t>说明</t>
        </is>
      </c>
      <c r="D5" s="5" t="n"/>
    </row>
    <row r="6" ht="25" customHeight="1">
      <c r="A6" s="19" t="inlineStr">
        <is>
          <t>情景可供分配金额 D</t>
        </is>
      </c>
      <c r="B6" s="41">
        <f>B37</f>
        <v/>
      </c>
      <c r="C6" s="5" t="inlineStr">
        <is>
          <t>已扣原预留；新增预留再扣一次</t>
        </is>
      </c>
      <c r="D6" s="5" t="n"/>
    </row>
    <row r="7" ht="25" customHeight="1">
      <c r="A7" s="19" t="inlineStr">
        <is>
          <t>90% 分配下限</t>
        </is>
      </c>
      <c r="B7" s="41">
        <f>IF(ISNUMBER(B6),MAX(B6,0)*'披露数据'!B26,"n.a.")</f>
        <v/>
      </c>
      <c r="C7" s="5" t="inlineStr">
        <is>
          <t>年度方案前提详见财务测算参数</t>
        </is>
      </c>
      <c r="D7" s="5" t="n"/>
    </row>
    <row r="8" ht="25" customHeight="1">
      <c r="A8" s="19" t="inlineStr">
        <is>
          <t>100% 分配上限</t>
        </is>
      </c>
      <c r="B8" s="41">
        <f>IF(ISNUMBER(B6),MAX(B6,0),"n.a.")</f>
        <v/>
      </c>
      <c r="C8" s="5" t="inlineStr">
        <is>
          <t>负 D 保留风险信息，上限取零</t>
        </is>
      </c>
      <c r="D8" s="5" t="n"/>
    </row>
    <row r="9" ht="25" customHeight="1">
      <c r="A9" s="5" t="inlineStr">
        <is>
          <t>正向可供分配每份金额</t>
        </is>
      </c>
      <c r="B9" s="42">
        <f>IF(ISNUMBER(B8),B8/'披露数据'!B24,"n.a.")</f>
        <v/>
      </c>
      <c r="C9" s="5" t="inlineStr">
        <is>
          <t>元 / 份；分母为 8 亿份</t>
        </is>
      </c>
      <c r="D9" s="5" t="n"/>
    </row>
    <row r="10" ht="25" customHeight="1">
      <c r="A10" s="5" t="inlineStr">
        <is>
          <t>拟分配额</t>
        </is>
      </c>
      <c r="B10" s="43">
        <f>IF(ISBLANK(B28),"n.a.",IF(AND(ISNUMBER(B28),B28&gt;=0),B28,"n.a."))</f>
        <v/>
      </c>
      <c r="C10" s="5" t="n"/>
      <c r="D10" s="5" t="n"/>
    </row>
    <row r="11" ht="25" customHeight="1">
      <c r="A11" s="5" t="inlineStr">
        <is>
          <t>对上限余量</t>
        </is>
      </c>
      <c r="B11" s="43">
        <f>IF(AND(ISNUMBER(B8),ISNUMBER(B10)),B8-B10,"n.a.")</f>
        <v/>
      </c>
      <c r="C11" s="5" t="inlineStr">
        <is>
          <t>负数表示拟分配超上限</t>
        </is>
      </c>
      <c r="D11" s="5" t="n"/>
    </row>
    <row r="12" ht="25" customHeight="1">
      <c r="A12" s="5" t="inlineStr">
        <is>
          <t>对下限余量</t>
        </is>
      </c>
      <c r="B12" s="43">
        <f>IF(AND(ISNUMBER(B10),ISNUMBER(B7)),B10-B7,"n.a.")</f>
        <v/>
      </c>
      <c r="C12" s="5" t="inlineStr">
        <is>
          <t>负数表示拟分配低于下限</t>
        </is>
      </c>
      <c r="D12" s="5" t="n"/>
    </row>
    <row r="13" ht="25" customHeight="1">
      <c r="A13" s="5" t="inlineStr">
        <is>
          <t>拟分配结论</t>
        </is>
      </c>
      <c r="B13" s="43">
        <f>IF(AND(ISNUMBER(B6),ISNUMBER(B10)),IF(B6&lt;=0,"无正向分配空间",IF(B10&lt;B7,"低于下限",IF(B10&gt;B8,"超过上限","区间内"))),"输入不可用")</f>
        <v/>
      </c>
      <c r="C13" s="5" t="n"/>
      <c r="D13" s="5" t="n"/>
    </row>
    <row r="14" ht="25" customHeight="1">
      <c r="A14" s="5" t="inlineStr">
        <is>
          <t>最大新增预留预算</t>
        </is>
      </c>
      <c r="B14" s="43">
        <f>IF(AND(ISNUMBER(B36),ISNUMBER(B10)),B53-B36-B10,"n.a.")</f>
        <v/>
      </c>
      <c r="C14" s="5" t="inlineStr">
        <is>
          <t>只测试上限；负数表示目标不可达</t>
        </is>
      </c>
      <c r="D14" s="5" t="n"/>
    </row>
    <row r="15" ht="25" customHeight="1">
      <c r="A15" s="5" t="inlineStr">
        <is>
          <t>当前新增预留后剩余预算</t>
        </is>
      </c>
      <c r="B15" s="43">
        <f>IF(AND(ISNUMBER(B14),ISNUMBER(B35)),B14-B35,"n.a.")</f>
        <v/>
      </c>
      <c r="C15" s="5" t="inlineStr">
        <is>
          <t>当前额外预留之外的剩余空间</t>
        </is>
      </c>
      <c r="D15" s="5" t="n"/>
    </row>
    <row r="16" ht="25" customHeight="1">
      <c r="A16" s="5" t="n"/>
      <c r="B16" s="44" t="n"/>
      <c r="C16" s="5" t="n"/>
      <c r="D16" s="5" t="n"/>
    </row>
    <row r="17" ht="25" customHeight="1">
      <c r="A17" s="5" t="n"/>
      <c r="B17" s="44" t="n"/>
      <c r="C17" s="5" t="n"/>
      <c r="D17" s="5" t="n"/>
    </row>
    <row r="18" ht="26" customHeight="1">
      <c r="A18" s="13" t="inlineStr">
        <is>
          <t>情景参数</t>
        </is>
      </c>
      <c r="B18" s="45" t="inlineStr">
        <is>
          <t>输入 / 活动值</t>
        </is>
      </c>
      <c r="C18" s="13" t="inlineStr">
        <is>
          <t>1 基准  2 压力  3 自定义</t>
        </is>
      </c>
      <c r="D18" s="5" t="n"/>
    </row>
    <row r="19" ht="25" customHeight="1">
      <c r="A19" s="5" t="inlineStr">
        <is>
          <t>输入标记</t>
        </is>
      </c>
      <c r="B19" s="44" t="inlineStr">
        <is>
          <t>黄色为可编辑</t>
        </is>
      </c>
      <c r="C19" s="5" t="inlineStr">
        <is>
          <t>基准和压力采用 scenario.json 参数</t>
        </is>
      </c>
      <c r="D19" s="5" t="n"/>
    </row>
    <row r="20" ht="25" customHeight="1">
      <c r="A20" s="19" t="inlineStr">
        <is>
          <t>活动收入下降率</t>
        </is>
      </c>
      <c r="B20" s="46">
        <f>IF(AND(ISNUMBER($B$4),$B$4&gt;=1,$B$4&lt;=3,$B$4=INT($B$4)),IF(CHOOSE($B$4,ISBLANK(B21),ISBLANK(B22),ISBLANK(B23)),"输入不可用",IF(AND(ISNUMBER(CHOOSE($B$4,B21,B22,B23)),CHOOSE($B$4,B21,B22,B23)&gt;=0,CHOOSE($B$4,B21,B22,B23)&lt;=1),CHOOSE($B$4,B21,B22,B23),"输入不可用")),"输入不可用")</f>
        <v/>
      </c>
      <c r="C20" s="5" t="n"/>
      <c r="D20" s="5" t="n"/>
    </row>
    <row r="21" ht="25" customHeight="1">
      <c r="A21" s="5" t="inlineStr">
        <is>
          <t>基准收入下降率</t>
        </is>
      </c>
      <c r="B21" s="47" t="n">
        <v>0</v>
      </c>
      <c r="C21" s="5" t="n"/>
      <c r="D21" s="5" t="n"/>
    </row>
    <row r="22" ht="25" customHeight="1">
      <c r="A22" s="5" t="inlineStr">
        <is>
          <t>压力收入下降率</t>
        </is>
      </c>
      <c r="B22" s="47" t="n">
        <v>0.1</v>
      </c>
      <c r="C22" s="5" t="n"/>
      <c r="D22" s="5" t="n"/>
    </row>
    <row r="23" ht="25" customHeight="1">
      <c r="A23" s="5" t="inlineStr">
        <is>
          <t>自定义收入下降率</t>
        </is>
      </c>
      <c r="B23" s="47" t="n">
        <v>0.2</v>
      </c>
      <c r="C23" s="5" t="inlineStr">
        <is>
          <t>可编辑；下降率0至100%</t>
        </is>
      </c>
      <c r="D23" s="5" t="n"/>
    </row>
    <row r="24" ht="25" customHeight="1">
      <c r="A24" s="19" t="inlineStr">
        <is>
          <t>活动新增预留</t>
        </is>
      </c>
      <c r="B24" s="48">
        <f>IF(AND(ISNUMBER($B$4),$B$4&gt;=1,$B$4&lt;=3,$B$4=INT($B$4)),IF(CHOOSE($B$4,ISBLANK(B25),ISBLANK(B26),ISBLANK(B27)),"输入不可用",IF(AND(ISNUMBER(CHOOSE($B$4,B25,B26,B27)),CHOOSE($B$4,B25,B26,B27)&gt;=0),CHOOSE($B$4,B25,B26,B27),"输入不可用")),"输入不可用")</f>
        <v/>
      </c>
      <c r="C24" s="5" t="n"/>
      <c r="D24" s="5" t="n"/>
    </row>
    <row r="25" ht="25" customHeight="1">
      <c r="A25" s="5" t="inlineStr">
        <is>
          <t>基准新增预留</t>
        </is>
      </c>
      <c r="B25" s="49" t="n">
        <v>0</v>
      </c>
      <c r="C25" s="5" t="n"/>
      <c r="D25" s="5" t="n"/>
    </row>
    <row r="26" ht="25" customHeight="1">
      <c r="A26" s="5" t="inlineStr">
        <is>
          <t>压力新增预留</t>
        </is>
      </c>
      <c r="B26" s="49" t="n">
        <v>5000000</v>
      </c>
      <c r="C26" s="5" t="n"/>
      <c r="D26" s="5" t="n"/>
    </row>
    <row r="27" ht="25" customHeight="1">
      <c r="A27" s="5" t="inlineStr">
        <is>
          <t>自定义新增预留</t>
        </is>
      </c>
      <c r="B27" s="49" t="n">
        <v>10000000</v>
      </c>
      <c r="C27" s="5" t="inlineStr">
        <is>
          <t>可编辑；新增预留为非负数</t>
        </is>
      </c>
      <c r="D27" s="5" t="n"/>
    </row>
    <row r="28" ht="25" customHeight="1">
      <c r="A28" s="5" t="inlineStr">
        <is>
          <t>拟分配额输入</t>
        </is>
      </c>
      <c r="B28" s="49" t="n">
        <v>85000000</v>
      </c>
      <c r="C28" s="5" t="n"/>
      <c r="D28" s="5" t="n"/>
    </row>
    <row r="29" ht="25" customHeight="1">
      <c r="A29" s="5" t="n"/>
      <c r="B29" s="44" t="n"/>
      <c r="C29" s="5" t="n"/>
      <c r="D29" s="5" t="n"/>
    </row>
    <row r="30" ht="25" customHeight="1">
      <c r="A30" s="5" t="n"/>
      <c r="B30" s="44" t="n"/>
      <c r="C30" s="5" t="n"/>
      <c r="D30" s="5" t="n"/>
    </row>
    <row r="31" ht="26" customHeight="1">
      <c r="A31" s="13" t="inlineStr">
        <is>
          <t>活动计算链</t>
        </is>
      </c>
      <c r="B31" s="45" t="inlineStr">
        <is>
          <t>金额 / 比率</t>
        </is>
      </c>
      <c r="C31" s="13" t="inlineStr">
        <is>
          <t>历史事实不随选择器变化</t>
        </is>
      </c>
      <c r="D31" s="5" t="n"/>
    </row>
    <row r="32" ht="25" customHeight="1">
      <c r="A32" s="5" t="inlineStr">
        <is>
          <t>历史可供分配锚点</t>
        </is>
      </c>
      <c r="B32" s="50">
        <f>B53</f>
        <v/>
      </c>
      <c r="C32" s="5" t="n"/>
      <c r="D32" s="5" t="n"/>
    </row>
    <row r="33" ht="25" customHeight="1">
      <c r="A33" s="5" t="inlineStr">
        <is>
          <t>项目公司营业收入驱动</t>
        </is>
      </c>
      <c r="B33" s="51">
        <f>'披露数据'!B17</f>
        <v/>
      </c>
      <c r="C33" s="5" t="inlineStr">
        <is>
          <t>项目营业收入用于增量测算</t>
        </is>
      </c>
      <c r="D33" s="5" t="n"/>
    </row>
    <row r="34" ht="25" customHeight="1">
      <c r="A34" s="5" t="inlineStr">
        <is>
          <t>活动收入下降率链接</t>
        </is>
      </c>
      <c r="B34" s="52">
        <f>B20</f>
        <v/>
      </c>
      <c r="C34" s="5" t="n"/>
      <c r="D34" s="5" t="n"/>
    </row>
    <row r="35" ht="25" customHeight="1">
      <c r="A35" s="5" t="inlineStr">
        <is>
          <t>活动新增预留链接</t>
        </is>
      </c>
      <c r="B35" s="50">
        <f>B24</f>
        <v/>
      </c>
      <c r="C35" s="5" t="n"/>
      <c r="D35" s="5" t="n"/>
    </row>
    <row r="36" ht="25" customHeight="1">
      <c r="A36" s="5" t="inlineStr">
        <is>
          <t>收入损失</t>
        </is>
      </c>
      <c r="B36" s="50">
        <f>IF(ISNUMBER(B34),B33*B34,"收入输入不可用")</f>
        <v/>
      </c>
      <c r="C36" s="5" t="n"/>
      <c r="D36" s="5" t="n"/>
    </row>
    <row r="37" ht="25" customHeight="1">
      <c r="A37" s="5" t="inlineStr">
        <is>
          <t>扣收入损失及新增预留后 D</t>
        </is>
      </c>
      <c r="B37" s="50">
        <f>IF(AND(ISNUMBER(B36),ISNUMBER(B35)),B32-B36-B35,"情景输入不可用")</f>
        <v/>
      </c>
      <c r="C37" s="5" t="n"/>
      <c r="D37" s="5" t="n"/>
    </row>
    <row r="38" ht="25" customHeight="1">
      <c r="A38" s="5" t="n"/>
      <c r="B38" s="44" t="n"/>
      <c r="C38" s="5" t="n"/>
      <c r="D38" s="5" t="n"/>
    </row>
    <row r="39" ht="25" customHeight="1">
      <c r="A39" s="5" t="n"/>
      <c r="B39" s="44" t="n"/>
      <c r="C39" s="5" t="n"/>
      <c r="D39" s="5" t="n"/>
    </row>
    <row r="40" ht="26" customHeight="1">
      <c r="A40" s="13" t="inlineStr">
        <is>
          <t>2025 披露历史桥接</t>
        </is>
      </c>
      <c r="B40" s="45" t="inlineStr">
        <is>
          <t>人民币元</t>
        </is>
      </c>
      <c r="C40" s="13" t="inlineStr">
        <is>
          <t>2025-07-18 至 2025-12-31</t>
        </is>
      </c>
      <c r="D40" s="5" t="n"/>
    </row>
    <row r="41" ht="25" customHeight="1">
      <c r="A41" s="5" t="inlineStr">
        <is>
          <t>合并净利润</t>
        </is>
      </c>
      <c r="B41" s="51">
        <f>'披露数据'!B5</f>
        <v/>
      </c>
      <c r="C41" s="5" t="n"/>
      <c r="D41" s="5" t="n"/>
    </row>
    <row r="42" ht="25" customHeight="1">
      <c r="A42" s="5" t="inlineStr">
        <is>
          <t>加回折旧和摊销</t>
        </is>
      </c>
      <c r="B42" s="51">
        <f>'披露数据'!B6</f>
        <v/>
      </c>
      <c r="C42" s="5" t="n"/>
      <c r="D42" s="5" t="n"/>
    </row>
    <row r="43" ht="25" customHeight="1">
      <c r="A43" s="5" t="inlineStr">
        <is>
          <t>加回利息支出</t>
        </is>
      </c>
      <c r="B43" s="51">
        <f>'披露数据'!B7</f>
        <v/>
      </c>
      <c r="C43" s="5" t="n"/>
      <c r="D43" s="5" t="n"/>
    </row>
    <row r="44" ht="25" customHeight="1">
      <c r="A44" s="5" t="inlineStr">
        <is>
          <t>加回所得税费用</t>
        </is>
      </c>
      <c r="B44" s="51">
        <f>'披露数据'!B8</f>
        <v/>
      </c>
      <c r="C44" s="5" t="n"/>
      <c r="D44" s="5" t="n"/>
    </row>
    <row r="45" ht="25" customHeight="1">
      <c r="A45" s="29" t="inlineStr">
        <is>
          <t>复算基金 EBITDA</t>
        </is>
      </c>
      <c r="B45" s="53">
        <f>SUM(B41:B44)</f>
        <v/>
      </c>
      <c r="C45" s="5" t="n"/>
      <c r="D45" s="5" t="n"/>
    </row>
    <row r="46" ht="25" customHeight="1">
      <c r="A46" s="5" t="inlineStr">
        <is>
          <t>应收和应付项目变动</t>
        </is>
      </c>
      <c r="B46" s="51">
        <f>'披露数据'!B10</f>
        <v/>
      </c>
      <c r="C46" s="5" t="n"/>
      <c r="D46" s="5" t="n"/>
    </row>
    <row r="47" ht="25" customHeight="1">
      <c r="A47" s="5" t="inlineStr">
        <is>
          <t>其他调增项</t>
        </is>
      </c>
      <c r="B47" s="51">
        <f>'披露数据'!B11</f>
        <v/>
      </c>
      <c r="C47" s="5" t="inlineStr">
        <is>
          <t>含发行、处置、金融资产及期初现金等</t>
        </is>
      </c>
      <c r="D47" s="5" t="n"/>
    </row>
    <row r="48" ht="25" customHeight="1">
      <c r="A48" s="5" t="inlineStr">
        <is>
          <t>购买不动产等资本性支出</t>
        </is>
      </c>
      <c r="B48" s="51">
        <f>'披露数据'!B12</f>
        <v/>
      </c>
      <c r="C48" s="5" t="inlineStr">
        <is>
          <t>原表负号保留</t>
        </is>
      </c>
      <c r="D48" s="5" t="n"/>
    </row>
    <row r="49" ht="25" customHeight="1">
      <c r="A49" s="5" t="inlineStr">
        <is>
          <t>偿还借款本金</t>
        </is>
      </c>
      <c r="B49" s="51">
        <f>'披露数据'!B13</f>
        <v/>
      </c>
      <c r="C49" s="5" t="n"/>
      <c r="D49" s="5" t="n"/>
    </row>
    <row r="50" ht="25" customHeight="1">
      <c r="A50" s="5" t="inlineStr">
        <is>
          <t>支付利息及所得税</t>
        </is>
      </c>
      <c r="B50" s="51">
        <f>'披露数据'!B14</f>
        <v/>
      </c>
      <c r="C50" s="5" t="n"/>
      <c r="D50" s="5" t="n"/>
    </row>
    <row r="51" ht="25" customHeight="1">
      <c r="A51" s="29" t="inlineStr">
        <is>
          <t>预留前金额</t>
        </is>
      </c>
      <c r="B51" s="53">
        <f>SUM(B45:B50)</f>
        <v/>
      </c>
      <c r="C51" s="5" t="n"/>
      <c r="D51" s="5" t="n"/>
    </row>
    <row r="52" ht="25" customHeight="1">
      <c r="A52" s="5" t="inlineStr">
        <is>
          <t>未来合理相关支出预留</t>
        </is>
      </c>
      <c r="B52" s="51">
        <f>'披露数据'!B15</f>
        <v/>
      </c>
      <c r="C52" s="5" t="inlineStr">
        <is>
          <t>用途见年报，未披露分项金额</t>
        </is>
      </c>
      <c r="D52" s="5" t="n"/>
    </row>
    <row r="53" ht="25" customHeight="1">
      <c r="A53" s="29" t="inlineStr">
        <is>
          <t>复算可供分配金额</t>
        </is>
      </c>
      <c r="B53" s="53">
        <f>SUM(B51:B52)</f>
        <v/>
      </c>
      <c r="C53" s="5" t="n"/>
      <c r="D53" s="5" t="n"/>
    </row>
    <row r="54" ht="25" customHeight="1">
      <c r="A54" s="5" t="n"/>
      <c r="B54" s="44" t="n"/>
      <c r="C54" s="5" t="n"/>
      <c r="D54" s="5" t="n"/>
    </row>
    <row r="55" ht="26" customHeight="1">
      <c r="A55" s="13" t="inlineStr">
        <is>
          <t>核对与口径差额</t>
        </is>
      </c>
      <c r="B55" s="45" t="inlineStr">
        <is>
          <t>人民币元</t>
        </is>
      </c>
      <c r="C55" s="13" t="inlineStr">
        <is>
          <t>独立控制；不反馈模型</t>
        </is>
      </c>
      <c r="D55" s="5" t="n"/>
    </row>
    <row r="56" ht="25" customHeight="1">
      <c r="A56" s="5" t="inlineStr">
        <is>
          <t>EBITDA 对披露差额</t>
        </is>
      </c>
      <c r="B56" s="54">
        <f>B45-'披露数据'!B9</f>
        <v/>
      </c>
      <c r="C56" s="5" t="n"/>
      <c r="D56" s="5" t="n"/>
    </row>
    <row r="57" ht="25" customHeight="1">
      <c r="A57" s="5" t="inlineStr">
        <is>
          <t>可供分配对披露差额</t>
        </is>
      </c>
      <c r="B57" s="54">
        <f>B53-'披露数据'!B16</f>
        <v/>
      </c>
      <c r="C57" s="5" t="n"/>
      <c r="D57" s="5" t="n"/>
    </row>
    <row r="58" ht="25" customHeight="1">
      <c r="A58" s="5" t="inlineStr">
        <is>
          <t>复算项目现金净流量</t>
        </is>
      </c>
      <c r="B58" s="50">
        <f>'披露数据'!B19-'披露数据'!B20</f>
        <v/>
      </c>
      <c r="C58" s="5" t="n"/>
      <c r="D58" s="5" t="n"/>
    </row>
    <row r="59" ht="25" customHeight="1">
      <c r="A59" s="5" t="inlineStr">
        <is>
          <t>项目现金对披露差额</t>
        </is>
      </c>
      <c r="B59" s="54">
        <f>B58-'披露数据'!B21</f>
        <v/>
      </c>
      <c r="C59" s="5" t="n"/>
      <c r="D59" s="5" t="n"/>
    </row>
    <row r="60" ht="25" customHeight="1">
      <c r="A60" s="5" t="inlineStr">
        <is>
          <t>基金减项目现金净流量</t>
        </is>
      </c>
      <c r="B60" s="50">
        <f>'披露数据'!B22-'披露数据'!B21</f>
        <v/>
      </c>
      <c r="C60" s="5" t="inlineStr">
        <is>
          <t>范围差异；未拆出其组成</t>
        </is>
      </c>
      <c r="D60" s="5" t="n"/>
    </row>
    <row r="61" ht="30" customHeight="1">
      <c r="A61" s="39" t="inlineStr">
        <is>
          <t>历史可供分配每份金额</t>
        </is>
      </c>
      <c r="B61" s="55">
        <f>B53/'披露数据'!B24</f>
        <v/>
      </c>
      <c r="C61" s="39" t="inlineStr">
        <is>
          <t>元 / 份；与披露0.1151的展示精度一致</t>
        </is>
      </c>
      <c r="D61" s="5" t="n"/>
    </row>
  </sheetData>
  <conditionalFormatting sqref="B11:B12">
    <cfRule type="cellIs" priority="1" operator="lessThan" dxfId="0">
      <formula>0</formula>
    </cfRule>
  </conditionalFormatting>
  <conditionalFormatting sqref="B14:B15">
    <cfRule type="cellIs" priority="2" operator="lessThan" dxfId="0">
      <formula>0</formula>
    </cfRule>
  </conditionalFormatting>
  <dataValidations count="3">
    <dataValidation sqref="B4" showDropDown="0" showInputMessage="0" showErrorMessage="0" allowBlank="0" type="whole" operator="between">
      <formula1>1</formula1>
      <formula2>3</formula2>
    </dataValidation>
    <dataValidation sqref="B21:B23" showDropDown="0" showInputMessage="0" showErrorMessage="0" allowBlank="0" type="decimal" operator="between">
      <formula1>0</formula1>
      <formula2>1</formula2>
    </dataValidation>
    <dataValidation sqref="B25:B28" showDropDown="0" showInputMessage="0" showErrorMessage="0" allowBlank="0" type="decimal" operator="greaterThanOrEqual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24" customWidth="1" min="3" max="3"/>
    <col width="24" customWidth="1" min="4" max="4"/>
    <col width="24" customWidth="1" min="5" max="5"/>
  </cols>
  <sheetData>
    <row r="1" ht="26" customHeight="1">
      <c r="A1" s="5" t="n"/>
      <c r="B1" s="5" t="n"/>
      <c r="C1" s="5" t="n"/>
      <c r="D1" s="5" t="n"/>
      <c r="E1" s="5" t="n"/>
    </row>
    <row r="2" ht="26" customHeight="1">
      <c r="A2" s="6" t="inlineStr">
        <is>
          <t>收入下滑及新增预留敏感性</t>
        </is>
      </c>
      <c r="B2" s="5" t="n"/>
      <c r="C2" s="5" t="n"/>
      <c r="D2" s="5" t="n"/>
      <c r="E2" s="5" t="n"/>
    </row>
    <row r="3" ht="26" customHeight="1">
      <c r="A3" s="5" t="n"/>
      <c r="B3" s="5" t="inlineStr">
        <is>
          <t>当前情景</t>
        </is>
      </c>
      <c r="C3" s="33">
        <f>'分配模型'!C4</f>
        <v/>
      </c>
      <c r="D3" s="5" t="n"/>
      <c r="E3" s="5" t="n"/>
    </row>
    <row r="4" ht="26" customHeight="1">
      <c r="A4" s="5" t="n"/>
      <c r="B4" s="5" t="inlineStr">
        <is>
          <t>人民币元；显式公式矩阵</t>
        </is>
      </c>
      <c r="C4" s="5" t="n"/>
      <c r="D4" s="5" t="n"/>
      <c r="E4" s="5" t="n"/>
    </row>
    <row r="5" ht="26" customHeight="1">
      <c r="A5" s="5" t="n"/>
      <c r="B5" s="5" t="inlineStr">
        <is>
          <t>情景可供分配金额 D</t>
        </is>
      </c>
      <c r="C5" s="5" t="n"/>
      <c r="D5" s="5" t="n"/>
      <c r="E5" s="5" t="n"/>
    </row>
    <row r="6" ht="26" customHeight="1">
      <c r="A6" s="5" t="n"/>
      <c r="B6" s="13" t="inlineStr">
        <is>
          <t>收入下降率 / 新增预留</t>
        </is>
      </c>
      <c r="C6" s="45" t="n">
        <v>0</v>
      </c>
      <c r="D6" s="45" t="n">
        <v>5000000</v>
      </c>
      <c r="E6" s="45" t="n">
        <v>10000000</v>
      </c>
    </row>
    <row r="7" ht="26" customHeight="1">
      <c r="A7" s="5" t="n"/>
      <c r="B7" s="56" t="n">
        <v>0</v>
      </c>
      <c r="C7" s="51">
        <f>'分配模型'!$B$53-'披露数据'!$B$17*$B7-C$6</f>
        <v/>
      </c>
      <c r="D7" s="51">
        <f>'分配模型'!$B$53-'披露数据'!$B$17*$B7-D$6</f>
        <v/>
      </c>
      <c r="E7" s="51">
        <f>'分配模型'!$B$53-'披露数据'!$B$17*$B7-E$6</f>
        <v/>
      </c>
    </row>
    <row r="8" ht="26" customHeight="1">
      <c r="A8" s="5" t="n"/>
      <c r="B8" s="56" t="n">
        <v>0.05</v>
      </c>
      <c r="C8" s="51">
        <f>'分配模型'!$B$53-'披露数据'!$B$17*$B8-C$6</f>
        <v/>
      </c>
      <c r="D8" s="51">
        <f>'分配模型'!$B$53-'披露数据'!$B$17*$B8-D$6</f>
        <v/>
      </c>
      <c r="E8" s="51">
        <f>'分配模型'!$B$53-'披露数据'!$B$17*$B8-E$6</f>
        <v/>
      </c>
    </row>
    <row r="9" ht="26" customHeight="1">
      <c r="A9" s="5" t="n"/>
      <c r="B9" s="56" t="n">
        <v>0.1</v>
      </c>
      <c r="C9" s="51">
        <f>'分配模型'!$B$53-'披露数据'!$B$17*$B9-C$6</f>
        <v/>
      </c>
      <c r="D9" s="51">
        <f>'分配模型'!$B$53-'披露数据'!$B$17*$B9-D$6</f>
        <v/>
      </c>
      <c r="E9" s="51">
        <f>'分配模型'!$B$53-'披露数据'!$B$17*$B9-E$6</f>
        <v/>
      </c>
    </row>
    <row r="10" ht="26" customHeight="1">
      <c r="A10" s="5" t="n"/>
      <c r="B10" s="56" t="n">
        <v>0.15</v>
      </c>
      <c r="C10" s="51">
        <f>'分配模型'!$B$53-'披露数据'!$B$17*$B10-C$6</f>
        <v/>
      </c>
      <c r="D10" s="51">
        <f>'分配模型'!$B$53-'披露数据'!$B$17*$B10-D$6</f>
        <v/>
      </c>
      <c r="E10" s="51">
        <f>'分配模型'!$B$53-'披露数据'!$B$17*$B10-E$6</f>
        <v/>
      </c>
    </row>
    <row r="11" ht="26" customHeight="1">
      <c r="A11" s="5" t="n"/>
      <c r="B11" s="56" t="n">
        <v>0.2</v>
      </c>
      <c r="C11" s="51">
        <f>'分配模型'!$B$53-'披露数据'!$B$17*$B11-C$6</f>
        <v/>
      </c>
      <c r="D11" s="51">
        <f>'分配模型'!$B$53-'披露数据'!$B$17*$B11-D$6</f>
        <v/>
      </c>
      <c r="E11" s="51">
        <f>'分配模型'!$B$53-'披露数据'!$B$17*$B11-E$6</f>
        <v/>
      </c>
    </row>
    <row r="12" ht="26" customHeight="1">
      <c r="A12" s="5" t="n"/>
      <c r="B12" s="5" t="n"/>
      <c r="C12" s="5" t="n"/>
      <c r="D12" s="5" t="n"/>
      <c r="E12" s="5" t="n"/>
    </row>
    <row r="13" ht="26" customHeight="1">
      <c r="A13" s="5" t="n"/>
      <c r="B13" s="5" t="n"/>
      <c r="C13" s="5" t="n"/>
      <c r="D13" s="5" t="n"/>
      <c r="E13" s="5" t="n"/>
    </row>
    <row r="14" ht="26" customHeight="1">
      <c r="A14" s="5" t="n"/>
      <c r="B14" s="5" t="inlineStr">
        <is>
          <t>拟分配相对100%上限余量</t>
        </is>
      </c>
      <c r="C14" s="5" t="n"/>
      <c r="D14" s="5" t="n"/>
      <c r="E14" s="5" t="n"/>
    </row>
    <row r="15" ht="26" customHeight="1">
      <c r="A15" s="5" t="n"/>
      <c r="B15" s="13" t="inlineStr">
        <is>
          <t>收入下降率 / 新增预留</t>
        </is>
      </c>
      <c r="C15" s="45">
        <f>C6</f>
        <v/>
      </c>
      <c r="D15" s="45">
        <f>D6</f>
        <v/>
      </c>
      <c r="E15" s="45">
        <f>E6</f>
        <v/>
      </c>
    </row>
    <row r="16" ht="26" customHeight="1">
      <c r="A16" s="5" t="n"/>
      <c r="B16" s="56">
        <f>B7</f>
        <v/>
      </c>
      <c r="C16" s="51">
        <f>IF(ISNUMBER('分配模型'!$B$10),MAX(C7,0)-'分配模型'!$B$10,"n.a.")</f>
        <v/>
      </c>
      <c r="D16" s="51">
        <f>IF(ISNUMBER('分配模型'!$B$10),MAX(D7,0)-'分配模型'!$B$10,"n.a.")</f>
        <v/>
      </c>
      <c r="E16" s="51">
        <f>IF(ISNUMBER('分配模型'!$B$10),MAX(E7,0)-'分配模型'!$B$10,"n.a.")</f>
        <v/>
      </c>
    </row>
    <row r="17" ht="26" customHeight="1">
      <c r="A17" s="5" t="n"/>
      <c r="B17" s="56">
        <f>B8</f>
        <v/>
      </c>
      <c r="C17" s="51">
        <f>IF(ISNUMBER('分配模型'!$B$10),MAX(C8,0)-'分配模型'!$B$10,"n.a.")</f>
        <v/>
      </c>
      <c r="D17" s="51">
        <f>IF(ISNUMBER('分配模型'!$B$10),MAX(D8,0)-'分配模型'!$B$10,"n.a.")</f>
        <v/>
      </c>
      <c r="E17" s="51">
        <f>IF(ISNUMBER('分配模型'!$B$10),MAX(E8,0)-'分配模型'!$B$10,"n.a.")</f>
        <v/>
      </c>
    </row>
    <row r="18" ht="26" customHeight="1">
      <c r="A18" s="5" t="n"/>
      <c r="B18" s="56">
        <f>B9</f>
        <v/>
      </c>
      <c r="C18" s="51">
        <f>IF(ISNUMBER('分配模型'!$B$10),MAX(C9,0)-'分配模型'!$B$10,"n.a.")</f>
        <v/>
      </c>
      <c r="D18" s="51">
        <f>IF(ISNUMBER('分配模型'!$B$10),MAX(D9,0)-'分配模型'!$B$10,"n.a.")</f>
        <v/>
      </c>
      <c r="E18" s="51">
        <f>IF(ISNUMBER('分配模型'!$B$10),MAX(E9,0)-'分配模型'!$B$10,"n.a.")</f>
        <v/>
      </c>
    </row>
    <row r="19" ht="26" customHeight="1">
      <c r="A19" s="5" t="n"/>
      <c r="B19" s="56">
        <f>B10</f>
        <v/>
      </c>
      <c r="C19" s="51">
        <f>IF(ISNUMBER('分配模型'!$B$10),MAX(C10,0)-'分配模型'!$B$10,"n.a.")</f>
        <v/>
      </c>
      <c r="D19" s="51">
        <f>IF(ISNUMBER('分配模型'!$B$10),MAX(D10,0)-'分配模型'!$B$10,"n.a.")</f>
        <v/>
      </c>
      <c r="E19" s="51">
        <f>IF(ISNUMBER('分配模型'!$B$10),MAX(E10,0)-'分配模型'!$B$10,"n.a.")</f>
        <v/>
      </c>
    </row>
    <row r="20" ht="26" customHeight="1">
      <c r="A20" s="5" t="n"/>
      <c r="B20" s="56">
        <f>B11</f>
        <v/>
      </c>
      <c r="C20" s="51">
        <f>IF(ISNUMBER('分配模型'!$B$10),MAX(C11,0)-'分配模型'!$B$10,"n.a.")</f>
        <v/>
      </c>
      <c r="D20" s="51">
        <f>IF(ISNUMBER('分配模型'!$B$10),MAX(D11,0)-'分配模型'!$B$10,"n.a.")</f>
        <v/>
      </c>
      <c r="E20" s="51">
        <f>IF(ISNUMBER('分配模型'!$B$10),MAX(E11,0)-'分配模型'!$B$10,"n.a.")</f>
        <v/>
      </c>
    </row>
    <row r="21" ht="26" customHeight="1">
      <c r="A21" s="5" t="n"/>
      <c r="B21" s="5" t="n"/>
      <c r="C21" s="5" t="n"/>
      <c r="D21" s="5" t="n"/>
      <c r="E21" s="5" t="n"/>
    </row>
    <row r="22" ht="26" customHeight="1">
      <c r="A22" s="5" t="n"/>
      <c r="B22" s="5" t="inlineStr">
        <is>
          <t>基准点 C7；压力点 D9</t>
        </is>
      </c>
      <c r="C22" s="5" t="n"/>
      <c r="D22" s="5" t="n"/>
      <c r="E22" s="5" t="n"/>
    </row>
    <row r="23" ht="26" customHeight="1">
      <c r="A23" s="5" t="n"/>
      <c r="B23" s="5" t="inlineStr">
        <is>
          <t>余量&lt;0 表示拟分配超过上限</t>
        </is>
      </c>
      <c r="C23" s="5" t="n"/>
      <c r="D23" s="5" t="n"/>
      <c r="E23" s="5" t="n"/>
    </row>
    <row r="24" ht="26" customHeight="1">
      <c r="A24" s="5" t="n"/>
      <c r="B24" s="5" t="n"/>
      <c r="C24" s="5" t="n"/>
      <c r="D24" s="5" t="n"/>
      <c r="E24" s="5" t="n"/>
    </row>
  </sheetData>
  <conditionalFormatting sqref="C16:E20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E6D8C7"/>
    <outlinePr summaryBelow="1" summaryRight="1"/>
    <pageSetUpPr/>
  </sheetPr>
  <dimension ref="A1:E34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42" customWidth="1" min="1" max="1"/>
    <col width="25" customWidth="1" min="2" max="2"/>
    <col width="25" customWidth="1" min="3" max="3"/>
    <col width="25" customWidth="1" min="4" max="4"/>
    <col width="38" customWidth="1" min="5" max="5"/>
  </cols>
  <sheetData>
    <row r="1" ht="26" customHeight="1">
      <c r="A1" s="5" t="n"/>
      <c r="B1" s="5" t="n"/>
      <c r="C1" s="5" t="n"/>
      <c r="D1" s="5" t="n"/>
      <c r="E1" s="5" t="n"/>
    </row>
    <row r="2" ht="26" customHeight="1">
      <c r="A2" s="6" t="inlineStr">
        <is>
          <t>2025 年报披露数据</t>
        </is>
      </c>
      <c r="B2" s="5" t="n"/>
      <c r="C2" s="5" t="n"/>
      <c r="D2" s="5" t="n"/>
      <c r="E2" s="5" t="n"/>
    </row>
    <row r="3" ht="26" customHeight="1">
      <c r="A3" s="5" t="inlineStr">
        <is>
          <t>来源 F025 2025年报；物理页=PDF页，印刷页=物理页−1</t>
        </is>
      </c>
      <c r="B3" s="5" t="n"/>
      <c r="C3" s="5" t="n"/>
      <c r="D3" s="5" t="n"/>
      <c r="E3" s="5" t="n"/>
    </row>
    <row r="4" ht="26" customHeight="1">
      <c r="A4" s="13" t="inlineStr">
        <is>
          <t>披露指标</t>
        </is>
      </c>
      <c r="B4" s="13" t="inlineStr">
        <is>
          <t>数值（人民币元）</t>
        </is>
      </c>
      <c r="C4" s="13" t="inlineStr">
        <is>
          <t>范围</t>
        </is>
      </c>
      <c r="D4" s="13" t="inlineStr">
        <is>
          <t>物理页 / 印刷页</t>
        </is>
      </c>
      <c r="E4" s="13" t="inlineStr">
        <is>
          <t>章节</t>
        </is>
      </c>
    </row>
    <row r="5" ht="26" customHeight="1">
      <c r="A5" s="5" t="inlineStr">
        <is>
          <t>合并净利润</t>
        </is>
      </c>
      <c r="B5" s="57" t="n">
        <v>23280783.76</v>
      </c>
      <c r="C5" s="5" t="inlineStr">
        <is>
          <t>fund-consolidated</t>
        </is>
      </c>
      <c r="D5" s="5" t="inlineStr">
        <is>
          <t>10 / 9</t>
        </is>
      </c>
      <c r="E5" s="5" t="inlineStr">
        <is>
          <t>3.3.2.1</t>
        </is>
      </c>
    </row>
    <row r="6" ht="26" customHeight="1">
      <c r="A6" s="5" t="inlineStr">
        <is>
          <t>折旧和摊销</t>
        </is>
      </c>
      <c r="B6" s="57" t="n">
        <v>41849395.41</v>
      </c>
      <c r="C6" s="5" t="inlineStr">
        <is>
          <t>fund-consolidated</t>
        </is>
      </c>
      <c r="D6" s="5" t="inlineStr">
        <is>
          <t>10 / 9</t>
        </is>
      </c>
      <c r="E6" s="5" t="inlineStr">
        <is>
          <t>3.3.2.1</t>
        </is>
      </c>
    </row>
    <row r="7" ht="26" customHeight="1">
      <c r="A7" s="5" t="inlineStr">
        <is>
          <t>利息支出</t>
        </is>
      </c>
      <c r="B7" s="57" t="n">
        <v>3427256.05</v>
      </c>
      <c r="C7" s="5" t="inlineStr">
        <is>
          <t>fund-consolidated</t>
        </is>
      </c>
      <c r="D7" s="5" t="inlineStr">
        <is>
          <t>10 / 9</t>
        </is>
      </c>
      <c r="E7" s="5" t="inlineStr">
        <is>
          <t>3.3.2.1</t>
        </is>
      </c>
    </row>
    <row r="8" ht="26" customHeight="1">
      <c r="A8" s="5" t="inlineStr">
        <is>
          <t>所得税费用</t>
        </is>
      </c>
      <c r="B8" s="57" t="n">
        <v>4242395.02</v>
      </c>
      <c r="C8" s="5" t="inlineStr">
        <is>
          <t>fund-consolidated</t>
        </is>
      </c>
      <c r="D8" s="5" t="inlineStr">
        <is>
          <t>10 / 9</t>
        </is>
      </c>
      <c r="E8" s="5" t="inlineStr">
        <is>
          <t>3.3.2.1</t>
        </is>
      </c>
    </row>
    <row r="9" ht="26" customHeight="1">
      <c r="A9" s="5" t="inlineStr">
        <is>
          <t>披露基金EBITDA</t>
        </is>
      </c>
      <c r="B9" s="57" t="n">
        <v>72799830.23999999</v>
      </c>
      <c r="C9" s="5" t="inlineStr">
        <is>
          <t>fund-consolidated</t>
        </is>
      </c>
      <c r="D9" s="5" t="inlineStr">
        <is>
          <t>10 / 9</t>
        </is>
      </c>
      <c r="E9" s="5" t="inlineStr">
        <is>
          <t>3.3.2.1</t>
        </is>
      </c>
    </row>
    <row r="10" ht="26" customHeight="1">
      <c r="A10" s="5" t="inlineStr">
        <is>
          <t>应收和应付项目变动</t>
        </is>
      </c>
      <c r="B10" s="57" t="n">
        <v>60480597</v>
      </c>
      <c r="C10" s="5" t="inlineStr">
        <is>
          <t>fund-consolidated</t>
        </is>
      </c>
      <c r="D10" s="5" t="inlineStr">
        <is>
          <t>10 / 9</t>
        </is>
      </c>
      <c r="E10" s="5" t="inlineStr">
        <is>
          <t>3.3.2.1</t>
        </is>
      </c>
    </row>
    <row r="11" ht="26" customHeight="1">
      <c r="A11" s="5" t="inlineStr">
        <is>
          <t>其他调增项</t>
        </is>
      </c>
      <c r="B11" s="57" t="n">
        <v>2390988185.77</v>
      </c>
      <c r="C11" s="5" t="inlineStr">
        <is>
          <t>fund-consolidated</t>
        </is>
      </c>
      <c r="D11" s="5" t="inlineStr">
        <is>
          <t>10 / 9</t>
        </is>
      </c>
      <c r="E11" s="5" t="inlineStr">
        <is>
          <t>3.3.2.1</t>
        </is>
      </c>
    </row>
    <row r="12" ht="26" customHeight="1">
      <c r="A12" s="5" t="inlineStr">
        <is>
          <t>购买不动产等资本性支出</t>
        </is>
      </c>
      <c r="B12" s="57" t="n">
        <v>-2186382254.09</v>
      </c>
      <c r="C12" s="5" t="inlineStr">
        <is>
          <t>fund-consolidated</t>
        </is>
      </c>
      <c r="D12" s="5" t="inlineStr">
        <is>
          <t>10 / 9</t>
        </is>
      </c>
      <c r="E12" s="5" t="inlineStr">
        <is>
          <t>3.3.2.1</t>
        </is>
      </c>
    </row>
    <row r="13" ht="26" customHeight="1">
      <c r="A13" s="5" t="inlineStr">
        <is>
          <t>偿还借款本金</t>
        </is>
      </c>
      <c r="B13" s="57" t="n">
        <v>-200000000</v>
      </c>
      <c r="C13" s="5" t="inlineStr">
        <is>
          <t>fund-consolidated</t>
        </is>
      </c>
      <c r="D13" s="5" t="inlineStr">
        <is>
          <t>10 / 9</t>
        </is>
      </c>
      <c r="E13" s="5" t="inlineStr">
        <is>
          <t>3.3.2.1</t>
        </is>
      </c>
    </row>
    <row r="14" ht="26" customHeight="1">
      <c r="A14" s="5" t="inlineStr">
        <is>
          <t>支付利息及所得税</t>
        </is>
      </c>
      <c r="B14" s="57" t="n">
        <v>-7104333.27</v>
      </c>
      <c r="C14" s="5" t="inlineStr">
        <is>
          <t>fund-consolidated</t>
        </is>
      </c>
      <c r="D14" s="5" t="inlineStr">
        <is>
          <t>10 / 9</t>
        </is>
      </c>
      <c r="E14" s="5" t="inlineStr">
        <is>
          <t>3.3.2.1</t>
        </is>
      </c>
    </row>
    <row r="15" ht="26" customHeight="1">
      <c r="A15" s="5" t="inlineStr">
        <is>
          <t>未来合理相关支出预留</t>
        </is>
      </c>
      <c r="B15" s="57" t="n">
        <v>-38723543.66</v>
      </c>
      <c r="C15" s="5" t="inlineStr">
        <is>
          <t>fund-consolidated</t>
        </is>
      </c>
      <c r="D15" s="5" t="inlineStr">
        <is>
          <t>10 / 9</t>
        </is>
      </c>
      <c r="E15" s="5" t="inlineStr">
        <is>
          <t>3.3.2.1</t>
        </is>
      </c>
    </row>
    <row r="16" ht="26" customHeight="1">
      <c r="A16" s="5" t="inlineStr">
        <is>
          <t>披露可供分配金额</t>
        </is>
      </c>
      <c r="B16" s="57" t="n">
        <v>92058481.98999999</v>
      </c>
      <c r="C16" s="5" t="inlineStr">
        <is>
          <t>fund-consolidated</t>
        </is>
      </c>
      <c r="D16" s="5" t="inlineStr">
        <is>
          <t>10 / 9</t>
        </is>
      </c>
      <c r="E16" s="5" t="inlineStr">
        <is>
          <t>3.3.1.1及3.3.2.1</t>
        </is>
      </c>
    </row>
    <row r="17" ht="26" customHeight="1">
      <c r="A17" s="5" t="inlineStr">
        <is>
          <t>项目公司营业收入</t>
        </is>
      </c>
      <c r="B17" s="57" t="n">
        <v>79972916.47</v>
      </c>
      <c r="C17" s="5" t="inlineStr">
        <is>
          <t>project-company</t>
        </is>
      </c>
      <c r="D17" s="5" t="inlineStr">
        <is>
          <t>18 / 17</t>
        </is>
      </c>
      <c r="E17" s="5" t="inlineStr">
        <is>
          <t>4.3.1及4.3.3</t>
        </is>
      </c>
    </row>
    <row r="18" ht="26" customHeight="1">
      <c r="A18" s="5" t="inlineStr">
        <is>
          <t>项目公司EBITDA</t>
        </is>
      </c>
      <c r="B18" s="57" t="n">
        <v>68120799.93000001</v>
      </c>
      <c r="C18" s="5" t="inlineStr">
        <is>
          <t>project-company</t>
        </is>
      </c>
      <c r="D18" s="5" t="inlineStr">
        <is>
          <t>18 / 17</t>
        </is>
      </c>
      <c r="E18" s="5" t="inlineStr">
        <is>
          <t>4.3.1</t>
        </is>
      </c>
    </row>
    <row r="19" ht="26" customHeight="1">
      <c r="A19" s="5" t="inlineStr">
        <is>
          <t>项目经营现金流入</t>
        </is>
      </c>
      <c r="B19" s="57" t="n">
        <v>213952232.49</v>
      </c>
      <c r="C19" s="5" t="inlineStr">
        <is>
          <t>project-company</t>
        </is>
      </c>
      <c r="D19" s="5" t="inlineStr">
        <is>
          <t>19 / 18</t>
        </is>
      </c>
      <c r="E19" s="5" t="inlineStr">
        <is>
          <t>4.4.1</t>
        </is>
      </c>
    </row>
    <row r="20" ht="26" customHeight="1">
      <c r="A20" s="5" t="inlineStr">
        <is>
          <t>项目经营现金流出</t>
        </is>
      </c>
      <c r="B20" s="57" t="n">
        <v>95638012.92</v>
      </c>
      <c r="C20" s="5" t="inlineStr">
        <is>
          <t>project-company</t>
        </is>
      </c>
      <c r="D20" s="5" t="inlineStr">
        <is>
          <t>19 / 18</t>
        </is>
      </c>
      <c r="E20" s="5" t="inlineStr">
        <is>
          <t>4.4.1</t>
        </is>
      </c>
    </row>
    <row r="21" ht="26" customHeight="1">
      <c r="A21" s="5" t="inlineStr">
        <is>
          <t>项目经营现金净流量</t>
        </is>
      </c>
      <c r="B21" s="57" t="n">
        <v>118314219.57</v>
      </c>
      <c r="C21" s="5" t="inlineStr">
        <is>
          <t>project-company</t>
        </is>
      </c>
      <c r="D21" s="5" t="inlineStr">
        <is>
          <t>19 / 18</t>
        </is>
      </c>
      <c r="E21" s="5" t="inlineStr">
        <is>
          <t>4.4.1</t>
        </is>
      </c>
    </row>
    <row r="22" ht="26" customHeight="1">
      <c r="A22" s="5" t="inlineStr">
        <is>
          <t>基金经营现金净流量</t>
        </is>
      </c>
      <c r="B22" s="57" t="n">
        <v>126973070.63</v>
      </c>
      <c r="C22" s="5" t="inlineStr">
        <is>
          <t>fund-consolidated</t>
        </is>
      </c>
      <c r="D22" s="5" t="inlineStr">
        <is>
          <t>9 / 8</t>
        </is>
      </c>
      <c r="E22" s="5" t="inlineStr">
        <is>
          <t>3.1</t>
        </is>
      </c>
    </row>
    <row r="23" ht="26" customHeight="1">
      <c r="A23" s="5" t="inlineStr">
        <is>
          <t>基金本期收入</t>
        </is>
      </c>
      <c r="B23" s="57" t="n">
        <v>89457272.23</v>
      </c>
      <c r="C23" s="5" t="inlineStr">
        <is>
          <t>fund-consolidated</t>
        </is>
      </c>
      <c r="D23" s="5" t="inlineStr">
        <is>
          <t>9 / 8</t>
        </is>
      </c>
      <c r="E23" s="5" t="inlineStr">
        <is>
          <t>3.1及注1</t>
        </is>
      </c>
    </row>
    <row r="24" ht="26" customHeight="1">
      <c r="A24" s="5" t="inlineStr">
        <is>
          <t>基金份额总额</t>
        </is>
      </c>
      <c r="B24" s="58" t="n">
        <v>800000000</v>
      </c>
      <c r="C24" s="5" t="inlineStr">
        <is>
          <t>fund</t>
        </is>
      </c>
      <c r="D24" s="5" t="inlineStr">
        <is>
          <t>6 / 5</t>
        </is>
      </c>
      <c r="E24" s="5" t="inlineStr">
        <is>
          <t>份额单位：份；2.1</t>
        </is>
      </c>
    </row>
    <row r="25" ht="26" customHeight="1">
      <c r="A25" s="5" t="inlineStr">
        <is>
          <t>本期实际分配</t>
        </is>
      </c>
      <c r="B25" s="57" t="n">
        <v>0</v>
      </c>
      <c r="C25" s="5" t="inlineStr">
        <is>
          <t>fund</t>
        </is>
      </c>
      <c r="D25" s="5" t="inlineStr">
        <is>
          <t>10 / 9</t>
        </is>
      </c>
      <c r="E25" s="5" t="inlineStr">
        <is>
          <t>披露为无，规范化实际分配为0</t>
        </is>
      </c>
    </row>
    <row r="26" ht="26" customHeight="1">
      <c r="A26" s="5" t="inlineStr">
        <is>
          <t>最低分配比例</t>
        </is>
      </c>
      <c r="B26" s="59" t="n">
        <v>0.9</v>
      </c>
      <c r="C26" s="5" t="inlineStr">
        <is>
          <t>fund</t>
        </is>
      </c>
      <c r="D26" s="5" t="inlineStr">
        <is>
          <t>7 / 6</t>
        </is>
      </c>
      <c r="E26" s="5" t="inlineStr">
        <is>
          <t>比例为0.9，金额单位不适用</t>
        </is>
      </c>
    </row>
    <row r="27" ht="26" customHeight="1">
      <c r="A27" s="5" t="inlineStr">
        <is>
          <t>本期计提基金管理费</t>
        </is>
      </c>
      <c r="B27" s="57" t="n">
        <v>2196163.56</v>
      </c>
      <c r="C27" s="5" t="inlineStr">
        <is>
          <t>fund</t>
        </is>
      </c>
      <c r="D27" s="5" t="inlineStr">
        <is>
          <t>11 / 10</t>
        </is>
      </c>
      <c r="E27" s="5" t="inlineStr">
        <is>
          <t>3.4.1</t>
        </is>
      </c>
    </row>
    <row r="28" ht="26" customHeight="1">
      <c r="A28" s="5" t="inlineStr">
        <is>
          <t>本期计提基金托管费</t>
        </is>
      </c>
      <c r="B28" s="57" t="n">
        <v>109807.51</v>
      </c>
      <c r="C28" s="5" t="inlineStr">
        <is>
          <t>fund</t>
        </is>
      </c>
      <c r="D28" s="5" t="inlineStr">
        <is>
          <t>11 / 10</t>
        </is>
      </c>
      <c r="E28" s="5" t="inlineStr">
        <is>
          <t>3.4.1</t>
        </is>
      </c>
    </row>
    <row r="29" ht="26" customHeight="1">
      <c r="A29" s="5" t="inlineStr">
        <is>
          <t>本期计提运营管理费</t>
        </is>
      </c>
      <c r="B29" s="57" t="n">
        <v>9964029.050000001</v>
      </c>
      <c r="C29" s="5" t="inlineStr">
        <is>
          <t>project-company</t>
        </is>
      </c>
      <c r="D29" s="5" t="inlineStr">
        <is>
          <t>11 / 10</t>
        </is>
      </c>
      <c r="E29" s="5" t="inlineStr">
        <is>
          <t>3.4.1</t>
        </is>
      </c>
    </row>
    <row r="30" ht="26" customHeight="1">
      <c r="A30" s="5" t="n"/>
      <c r="B30" s="5" t="n"/>
      <c r="C30" s="5" t="n"/>
      <c r="D30" s="5" t="n"/>
      <c r="E30" s="5" t="n"/>
    </row>
    <row r="31" ht="26" customHeight="1">
      <c r="A31" s="5" t="inlineStr">
        <is>
          <t>合同生效日 2025-07-18；期末 2025-12-31</t>
        </is>
      </c>
      <c r="B31" s="5" t="n"/>
      <c r="C31" s="5" t="n"/>
      <c r="D31" s="5" t="n"/>
      <c r="E31" s="5" t="n"/>
    </row>
    <row r="32" ht="26" customHeight="1">
      <c r="A32" s="5" t="inlineStr">
        <is>
          <t>预留已扣，3.4.1本期计提费用已扣</t>
        </is>
      </c>
      <c r="B32" s="5" t="n"/>
      <c r="C32" s="5" t="n"/>
      <c r="D32" s="5" t="n"/>
      <c r="E32" s="5" t="n"/>
    </row>
    <row r="33" ht="26" customHeight="1">
      <c r="A33" s="5" t="inlineStr">
        <is>
          <t>过渡期损益自2025-03-31归投资人；3.3.2.1注2</t>
        </is>
      </c>
      <c r="B33" s="5" t="n"/>
      <c r="C33" s="5" t="n"/>
      <c r="D33" s="5" t="n"/>
      <c r="E33" s="5" t="n"/>
    </row>
    <row r="34" ht="26" customHeight="1">
      <c r="A34" s="5" t="inlineStr">
        <is>
          <t>报告期非完整年度；原件未披露预留用途分项金额</t>
        </is>
      </c>
      <c r="B34" s="5" t="n"/>
      <c r="C34" s="5" t="n"/>
      <c r="D34" s="5" t="n"/>
      <c r="E34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2026-10-12T05:22:13Z</dcterms:created>
  <dcterms:modified xmlns:dcterms="http://purl.org/dc/terms/" xmlns:xsi="http://www.w3.org/2001/XMLSchema-instance" xsi:type="dcterms:W3CDTF">2026-10-12T05:22:13Z</dcterms:modified>
</cp:coreProperties>
</file>
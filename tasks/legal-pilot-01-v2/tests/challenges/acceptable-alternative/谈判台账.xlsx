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f2dd46bef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谈判事项" sheetId="1" r:id="Rbb69ff13aa7740f4"/>
    <x:sheet xmlns:r="http://schemas.openxmlformats.org/officeDocument/2006/relationships" name="付款校核" sheetId="2" r:id="R45e1cc725fae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343"/>
      </x:patternFill>
    </x:fill>
    <x:fill>
      <x:patternFill patternType="solid">
        <x:fgColor rgb="FFF3F5F7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E2621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a570b89214dbd" /><Relationship Type="http://schemas.openxmlformats.org/officeDocument/2006/relationships/theme" Target="/xl/theme/theme1.xml" Id="Rdca203dbe9ce4a54" /><Relationship Type="http://schemas.openxmlformats.org/officeDocument/2006/relationships/sharedStrings" Target="/xl/sharedStrings.xml" Id="R2532a174ef5e415e" /><Relationship Type="http://schemas.openxmlformats.org/officeDocument/2006/relationships/worksheet" Target="/xl/worksheets/sheet1.xml" Id="Rbb69ff13aa7740f4" /><Relationship Type="http://schemas.openxmlformats.org/officeDocument/2006/relationships/worksheet" Target="/xl/worksheets/sheet2.xml" Id="R45e1cc725fae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25" hidden="0" customWidth="1"/>
    <x:col min="5" max="5" width="45" hidden="0" customWidth="1"/>
    <x:col min="6" max="6" width="39" hidden="0" customWidth="1"/>
    <x:col min="7" max="7" width="26" hidden="0" customWidth="1"/>
    <x:col min="8" max="8" width="31" hidden="0" customWidth="1"/>
    <x:col min="9" max="9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企业订单数据处理谈判台账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7" t="str">
        <x:v>ID</x:v>
      </x:c>
      <x:c r="B4" s="7" t="str">
        <x:v>优先级</x:v>
      </x:c>
      <x:c r="C4" s="7" t="str">
        <x:v>冲突位置</x:v>
      </x:c>
      <x:c r="D4" s="7" t="str">
        <x:v>原安排风险</x:v>
      </x:c>
      <x:c r="E4" s="7" t="str">
        <x:v>需求与模板依据</x:v>
      </x:c>
      <x:c r="F4" s="7" t="str">
        <x:v>建议</x:v>
      </x:c>
      <x:c r="G4" s="7" t="str">
        <x:v>联动位置</x:v>
      </x:c>
      <x:c r="H4" s="7" t="str">
        <x:v>备选或审批</x:v>
      </x:c>
      <x:c r="I4" s="7" t="str">
        <x:v>依赖</x:v>
      </x:c>
      <x:c r="J4" s="2"/>
      <x:c r="K4" s="2"/>
    </x:row>
    <x:row r="5" ht="120" customHeight="1">
      <x:c r="A5" s="9" t="str">
        <x:v>N01</x:v>
      </x:c>
      <x:c r="B5" s="9" t="str">
        <x:v>高</x:v>
      </x:c>
      <x:c r="C5" s="9" t="str">
        <x:v>第二条2.2及A4</x:v>
      </x:c>
      <x:c r="D5" s="9" t="str">
        <x:v>乙方独立使用结果训练、演示</x:v>
      </x:c>
      <x:c r="E5" s="9" t="str">
        <x:v>R02/R04/R10；GF-2025-2616第2条3项 p7。模板第2条3项由甲方享结果权益，并可选授乙方权利；本项目选择不授独立权利。</x:v>
      </x:c>
      <x:c r="F5" s="9" t="str">
        <x:v>仅履约使用，无经营或训练权限；同步删除A4与第13条展示许可</x:v>
      </x:c>
      <x:c r="G5" s="9" t="str">
        <x:v>第二条2.2；A4；第十三条</x:v>
      </x:c>
      <x:c r="H5" s="9" t="str">
        <x:v>不可降低；可另议新用途，须内部审批及双方事先书面变更</x:v>
      </x:c>
      <x:c r="I5" s="9" t="str">
        <x:v>用途和权益均需联动</x:v>
      </x:c>
      <x:c r="J5" s="2"/>
      <x:c r="K5" s="2"/>
    </x:row>
    <x:row r="6" ht="120" customHeight="1">
      <x:c r="A6" s="8" t="str">
        <x:v>N02</x:v>
      </x:c>
      <x:c r="B6" s="8" t="str">
        <x:v>高</x:v>
      </x:c>
      <x:c r="C6" s="8" t="str">
        <x:v>第三条及A3及第十二条</x:v>
      </x:c>
      <x:c r="D6" s="8" t="str">
        <x:v>P1/P2留乙方、不交付；工具权利混同数据权利</x:v>
      </x:c>
      <x:c r="E6" s="8" t="str">
        <x:v>R04；GF-2025-2616第3条 p7、第6条 p9-10、第12条 p14-15。模板第3条允许逐项选配双方过程权益，第6条交付甲方权益过程数据；本项目明确P1/P2归甲方。</x:v>
      </x:c>
      <x:c r="F6" s="8" t="str">
        <x:v>甲方取得P1/P2权益及交付；工具IP保留且提供可用许可/替代接口</x:v>
      </x:c>
      <x:c r="G6" s="8" t="str">
        <x:v>第三条；第六条；第十二条；A3</x:v>
      </x:c>
      <x:c r="H6" s="8" t="str">
        <x:v>接受不转让既有代码；不能扣留数据或规则</x:v>
      </x:c>
      <x:c r="I6" s="8" t="str">
        <x:v>签约前确认工具许可、实际数据范围及甲方提供权利</x:v>
      </x:c>
      <x:c r="J6" s="2"/>
      <x:c r="K6" s="2"/>
    </x:row>
    <x:row r="7" ht="120" customHeight="1">
      <x:c r="A7" s="9" t="str">
        <x:v>N03</x:v>
      </x:c>
      <x:c r="B7" s="9" t="str">
        <x:v>高</x:v>
      </x:c>
      <x:c r="C7" s="9" t="str">
        <x:v>第五条5.1及第十四条及A5</x:v>
      </x:c>
      <x:c r="D7" s="9" t="str">
        <x:v>通知即可扩范围、境外访问、单改技术</x:v>
      </x:c>
      <x:c r="E7" s="9" t="str">
        <x:v>R02/R09；GF-2025-2616第5条 p9、第14条 p15-16</x:v>
      </x:c>
      <x:c r="F7" s="9" t="str">
        <x:v>事先书面变更；当前限境内和指定用途；禁外部补充</x:v>
      </x:c>
      <x:c r="G7" s="9" t="str">
        <x:v>第五条；第十四条；A5；第十八条</x:v>
      </x:c>
      <x:c r="H7" s="9" t="str">
        <x:v>变更须甲方内部审批与双方事先书面确认</x:v>
      </x:c>
      <x:c r="I7" s="9" t="str">
        <x:v>环境及地点改变有依赖</x:v>
      </x:c>
      <x:c r="J7" s="2"/>
      <x:c r="K7" s="2"/>
    </x:row>
    <x:row r="8" ht="120" customHeight="1">
      <x:c r="A8" s="8" t="str">
        <x:v>N04</x:v>
      </x:c>
      <x:c r="B8" s="8" t="str">
        <x:v>高</x:v>
      </x:c>
      <x:c r="C8" s="8" t="str">
        <x:v>第七条及A1/A2/A5</x:v>
      </x:c>
      <x:c r="D8" s="8" t="str">
        <x:v>2天默示验收、使用视为合格；60k/20类/98%冲突</x:v>
      </x:c>
      <x:c r="E8" s="8" t="str">
        <x:v>R02/R03；GF-2025-2616第2条 p6-7、第7条 p10-11。模板第7条含逾期/使用认可及例外；R03授权排除默示安排，属商业修改。</x:v>
      </x:c>
      <x:c r="F8" s="8" t="str">
        <x:v>80k/24类；99.5%/0.1%；明确2k抽样；完整交付后10工作日书面验收；准确率按正确字段数/核对字段总数</x:v>
      </x:c>
      <x:c r="G8" s="8" t="str">
        <x:v>第六至八条；A1/A2/A5；第九条</x:v>
      </x:c>
      <x:c r="H8" s="8" t="str">
        <x:v>可协商明确证据核实流程；不用自动验收</x:v>
      </x:c>
      <x:c r="I8" s="8" t="str">
        <x:v>接收、检验、验收、支付分开</x:v>
      </x:c>
      <x:c r="J8" s="2"/>
      <x:c r="K8" s="2"/>
    </x:row>
    <x:row r="9" ht="120" customHeight="1">
      <x:c r="A9" s="9" t="str">
        <x:v>N05</x:v>
      </x:c>
      <x:c r="B9" s="9" t="str">
        <x:v>高</x:v>
      </x:c>
      <x:c r="C9" s="9" t="str">
        <x:v>第九条及B1</x:v>
      </x:c>
      <x:c r="D9" s="9" t="str">
        <x:v>主文比例合计110%；附件100%但触发更早</x:v>
      </x:c>
      <x:c r="E9" s="9" t="str">
        <x:v>R05；GF-2025-2616第9条 p11-13。模板第9条第二笔示例为交付触发、第三笔为验收；R05改为验收及退出，非强制法义务。</x:v>
      </x:c>
      <x:c r="F9" s="9" t="str">
        <x:v>480k；20/50/30；生效环境发票/全部验收发票/退出全部证明交接发票</x:v>
      </x:c>
      <x:c r="G9" s="9" t="str">
        <x:v>第九条；B1；第十一条</x:v>
      </x:c>
      <x:c r="H9" s="9" t="str">
        <x:v>金额和触发不得降低；十工作日期限一致</x:v>
      </x:c>
      <x:c r="I9" s="9" t="str">
        <x:v>需要金额对账及尾款依赖</x:v>
      </x:c>
      <x:c r="J9" s="2"/>
      <x:c r="K9" s="2"/>
    </x:row>
    <x:row r="10" ht="120" customHeight="1">
      <x:c r="A10" s="8" t="str">
        <x:v>N06</x:v>
      </x:c>
      <x:c r="B10" s="8" t="str">
        <x:v>高</x:v>
      </x:c>
      <x:c r="C10" s="8" t="str">
        <x:v>第八条及第九条及B1</x:v>
      </x:c>
      <x:c r="D10" s="8" t="str">
        <x:v>未验收按进度计费与阶段款叠加</x:v>
      </x:c>
      <x:c r="E10" s="8" t="str">
        <x:v>R06；GF-2025-2616第8条 p11。模板第8条以缺陷处置为语境；R06另设一般部分验收终止结算，不以无法补正为前提。</x:v>
      </x:c>
      <x:c r="F10" s="8" t="str">
        <x:v>合同终止且已有部分结果书面验收即适用，适用于任何部分验收后终止；仅计已验收A/B对应价款，抵扣全部已付；净正补付净负返还，不套阶段比例</x:v>
      </x:c>
      <x:c r="G10" s="8" t="str">
        <x:v>第八条；第九条9.3；B1</x:v>
      </x:c>
      <x:c r="H10" s="8" t="str">
        <x:v>可明确结算确认与付款程序；不收B未验收价款</x:v>
      </x:c>
      <x:c r="I10" s="8" t="str">
        <x:v>A单独验收终止需复算</x:v>
      </x:c>
      <x:c r="J10" s="2"/>
      <x:c r="K10" s="2"/>
    </x:row>
    <x:row r="11" ht="120" customHeight="1">
      <x:c r="A11" s="9" t="str">
        <x:v>N07</x:v>
      </x:c>
      <x:c r="B11" s="9" t="str">
        <x:v>高</x:v>
      </x:c>
      <x:c r="C11" s="9" t="str">
        <x:v>第十条及B2</x:v>
      </x:c>
      <x:c r="D11" s="9" t="str">
        <x:v>列名等于批准、再转委托和境外灾备、自行担责</x:v>
      </x:c>
      <x:c r="E11" s="9" t="str">
        <x:v>R07；GF-2025-2616第10条 p13。模板第10条事先书面同意及范围不超出，直接指示时有连带责任示例；担责取舍应谈判明确。</x:v>
      </x:c>
      <x:c r="F11" s="9" t="str">
        <x:v>待批准；提交明细后事先书面同意；义务不低于主合同、禁止再转、乙方担责</x:v>
      </x:c>
      <x:c r="G11" s="9" t="str">
        <x:v>第十条；B2；第十四条</x:v>
      </x:c>
      <x:c r="H11" s="9" t="str">
        <x:v>可按批准事项完善担责；不能以第三方自担免责</x:v>
      </x:c>
      <x:c r="I11" s="9" t="str">
        <x:v>当前未通过审批</x:v>
      </x:c>
      <x:c r="J11" s="2"/>
      <x:c r="K11" s="2"/>
    </x:row>
    <x:row r="12" ht="120" customHeight="1">
      <x:c r="A12" s="8" t="str">
        <x:v>N08</x:v>
      </x:c>
      <x:c r="B12" s="8" t="str">
        <x:v>高</x:v>
      </x:c>
      <x:c r="C12" s="8" t="str">
        <x:v>第十一条及B3</x:v>
      </x:c>
      <x:c r="D12" s="8" t="str">
        <x:v>7年行业留存、永久备份及质量改进</x:v>
      </x:c>
      <x:c r="E12" s="8" t="str">
        <x:v>R08；GF-2025-2616第11条 p14、第4条10项 p9。模板第11条及时返还/销毁并证明，最先触发；具体5/10工作日及30自然日由R08新增。</x:v>
      </x:c>
      <x:c r="F12" s="8" t="str">
        <x:v>最先触发；返还5工作日、普通删除10工作日、隔离备份30自然日；强制义务最小例外</x:v>
      </x:c>
      <x:c r="G12" s="8" t="str">
        <x:v>第十一条；B3；第九条第三笔</x:v>
      </x:c>
      <x:c r="H12" s="8" t="str">
        <x:v>可明确不可即时删除技术过程；不得永久保留</x:v>
      </x:c>
      <x:c r="I12" s="8" t="str">
        <x:v>尾款需普通及备份证明全部齐备</x:v>
      </x:c>
      <x:c r="J12" s="2"/>
      <x:c r="K12" s="2"/>
    </x:row>
    <x:row r="13" ht="120" customHeight="1">
      <x:c r="A13" s="9" t="str">
        <x:v>N09</x:v>
      </x:c>
      <x:c r="B13" s="9" t="str">
        <x:v>高</x:v>
      </x:c>
      <x:c r="C13" s="9" t="str">
        <x:v>第十八条及B4</x:v>
      </x:c>
      <x:c r="D13" s="9" t="str">
        <x:v>后签附件和单方平台规则优先</x:v>
      </x:c>
      <x:c r="E13" s="9" t="str">
        <x:v>R09；GF-2025-2616第18条 p17-18。模板第18条4项完整协议优先于此前沟通；未给出本项目主附件顺序，本项目另定。</x:v>
      </x:c>
      <x:c r="F13" s="9" t="str">
        <x:v>明确双签定点变更優先；主文商业控制，A技术细化；实际改A/B</x:v>
      </x:c>
      <x:c r="G13" s="9" t="str">
        <x:v>第十八条；A5；B4</x:v>
      </x:c>
      <x:c r="H13" s="9" t="str">
        <x:v>允许明确指向的双签补充；不承认单方政策</x:v>
      </x:c>
      <x:c r="I13" s="9" t="str">
        <x:v>必须消除原冲突而非只写顺序</x:v>
      </x:c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8" customHeight="1">
      <x:c r="A15" s="2" t="str">
        <x:v>依据范围</x:v>
      </x:c>
      <x:c r="B15" s="2" t="str">
        <x:v>项目需求R01-R10为甲方授权；GF-2025-2616供条款协商参照。页码为PDF物理页。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修改轨迹</x:v>
      </x:c>
      <x:c r="B17" s="2" t="str">
        <x:v>修订合同主文与附件已实际替换，末附N01-N09定点对照；本台账列出联动与审批。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付款安排与部分验收终止结算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含税总价（元）</x:v>
      </x:c>
      <x:c r="B3" s="11" t="n">
        <x:v>480000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7" t="str">
        <x:v>版本</x:v>
      </x:c>
      <x:c r="B5" s="7" t="str">
        <x:v>第一笔比例</x:v>
      </x:c>
      <x:c r="C5" s="7" t="str">
        <x:v>第二笔比例</x:v>
      </x:c>
      <x:c r="D5" s="7" t="str">
        <x:v>第三笔比例</x:v>
      </x:c>
      <x:c r="E5" s="7" t="str">
        <x:v>比例合计</x:v>
      </x:c>
      <x:c r="F5" s="7" t="str">
        <x:v>第一笔金额</x:v>
      </x:c>
      <x:c r="G5" s="7" t="str">
        <x:v>第二笔金额</x:v>
      </x:c>
      <x:c r="H5" s="7" t="str">
        <x:v>第三笔金额</x:v>
      </x:c>
      <x:c r="I5" s="7" t="str">
        <x:v>金额合计</x:v>
      </x:c>
      <x:c r="J5" s="7" t="str">
        <x:v>相对总价差额</x:v>
      </x:c>
      <x:c r="K5" s="7" t="str">
        <x:v>触发条件</x:v>
      </x:c>
    </x:row>
    <x:row r="6" ht="75" customHeight="1">
      <x:c r="A6" s="8" t="str">
        <x:v>原主文</x:v>
      </x:c>
      <x:c r="B6" s="15" t="n">
        <x:v>0.3</x:v>
      </x:c>
      <x:c r="C6" s="15" t="n">
        <x:v>0.5</x:v>
      </x:c>
      <x:c r="D6" s="15" t="n">
        <x:v>0.3</x:v>
      </x:c>
      <x:c r="E6" s="16" t="n">
        <x:f>SUM(B6:D6)</x:f>
        <x:v>1.1</x:v>
      </x:c>
      <x:c r="F6" s="17" t="n">
        <x:f>$B$3*B6</x:f>
        <x:v>144000</x:v>
      </x:c>
      <x:c r="G6" s="17" t="n">
        <x:f>$B$3*C6</x:f>
        <x:v>240000</x:v>
      </x:c>
      <x:c r="H6" s="17" t="n">
        <x:f>$B$3*D6</x:f>
        <x:v>144000</x:v>
      </x:c>
      <x:c r="I6" s="17" t="n">
        <x:f>SUM(F6:H6)</x:f>
        <x:v>528000</x:v>
      </x:c>
      <x:c r="J6" s="17" t="n">
        <x:f>I6-$B$3</x:f>
        <x:v>48000</x:v>
      </x:c>
      <x:c r="K6" s="8" t="str">
        <x:v>生效/全部交付/验收；比例110%超总价</x:v>
      </x:c>
    </x:row>
    <x:row r="7" ht="75" customHeight="1">
      <x:c r="A7" s="8" t="str">
        <x:v>原附件B</x:v>
      </x:c>
      <x:c r="B7" s="15" t="n">
        <x:v>0.25</x:v>
      </x:c>
      <x:c r="C7" s="15" t="n">
        <x:v>0.5</x:v>
      </x:c>
      <x:c r="D7" s="15" t="n">
        <x:v>0.25</x:v>
      </x:c>
      <x:c r="E7" s="16" t="n">
        <x:f>SUM(B7:D7)</x:f>
        <x:v>1</x:v>
      </x:c>
      <x:c r="F7" s="17" t="n">
        <x:f>$B$3*B7</x:f>
        <x:v>120000</x:v>
      </x:c>
      <x:c r="G7" s="17" t="n">
        <x:f>$B$3*C7</x:f>
        <x:v>240000</x:v>
      </x:c>
      <x:c r="H7" s="17" t="n">
        <x:f>$B$3*D7</x:f>
        <x:v>120000</x:v>
      </x:c>
      <x:c r="I7" s="17" t="n">
        <x:f>SUM(F7:H7)</x:f>
        <x:v>480000</x:v>
      </x:c>
      <x:c r="J7" s="17" t="n">
        <x:f>I7-$B$3</x:f>
        <x:v>0</x:v>
      </x:c>
      <x:c r="K7" s="8" t="str">
        <x:v>第一笔按主文生效；链接发送/期满；合计正确但触发冲突</x:v>
      </x:c>
    </x:row>
    <x:row r="8" ht="75" customHeight="1">
      <x:c r="A8" s="8" t="str">
        <x:v>修订建议</x:v>
      </x:c>
      <x:c r="B8" s="15" t="n">
        <x:v>0.2</x:v>
      </x:c>
      <x:c r="C8" s="15" t="n">
        <x:v>0.5</x:v>
      </x:c>
      <x:c r="D8" s="15" t="n">
        <x:v>0.3</x:v>
      </x:c>
      <x:c r="E8" s="16" t="n">
        <x:f>B8+C8+D8</x:f>
        <x:v>1</x:v>
      </x:c>
      <x:c r="F8" s="17" t="n">
        <x:f>$B$3*B8</x:f>
        <x:v>96000</x:v>
      </x:c>
      <x:c r="G8" s="17" t="n">
        <x:f>$B$3*C8</x:f>
        <x:v>240000</x:v>
      </x:c>
      <x:c r="H8" s="17" t="n">
        <x:f>$B$3*D8</x:f>
        <x:v>144000</x:v>
      </x:c>
      <x:c r="I8" s="17" t="n">
        <x:f>SUM(F8:H8)</x:f>
        <x:v>480000</x:v>
      </x:c>
      <x:c r="J8" s="17" t="n">
        <x:f>I8-$B$3</x:f>
        <x:v>0</x:v>
      </x:c>
      <x:c r="K8" s="8" t="str">
        <x:v>生效+环境+发票/全部书面验收+发票/退出全部证明+交接+发票；各10工作日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 t="str">
        <x:v>仅A验收后终止  已付第一笔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0" customHeight="1">
      <x:c r="A12" s="7" t="str">
        <x:v>A对应价款</x:v>
      </x:c>
      <x:c r="B12" s="7" t="str">
        <x:v>B对应价款</x:v>
      </x:c>
      <x:c r="C12" s="7" t="str">
        <x:v>A验收计入</x:v>
      </x:c>
      <x:c r="D12" s="7" t="str">
        <x:v>B验收计入</x:v>
      </x:c>
      <x:c r="E12" s="7" t="str">
        <x:v>应结算</x:v>
      </x:c>
      <x:c r="F12" s="7" t="str">
        <x:v>已付款</x:v>
      </x:c>
      <x:c r="G12" s="7" t="str">
        <x:v>净应付</x:v>
      </x:c>
      <x:c r="H12" s="7" t="str">
        <x:v>需返还</x:v>
      </x:c>
      <x:c r="I12" s="2"/>
      <x:c r="J12" s="2"/>
      <x:c r="K12" s="2"/>
    </x:row>
    <x:row r="13" ht="28" customHeight="1">
      <x:c r="A13" s="11" t="n">
        <x:v>288000</x:v>
      </x:c>
      <x:c r="B13" s="11" t="n">
        <x:v>192000</x:v>
      </x:c>
      <x:c r="C13" s="10" t="n">
        <x:v>1</x:v>
      </x:c>
      <x:c r="D13" s="10" t="n">
        <x:v>0</x:v>
      </x:c>
      <x:c r="E13" s="14" t="n">
        <x:f>A13*C13+B13*D13</x:f>
        <x:v>288000</x:v>
      </x:c>
      <x:c r="F13" s="14" t="n">
        <x:f>F8</x:f>
        <x:v>96000</x:v>
      </x:c>
      <x:c r="G13" s="14" t="n">
        <x:f>IF(E13&gt;F13,E13-F13,0)</x:f>
        <x:v>192000</x:v>
      </x:c>
      <x:c r="H13" s="14" t="n">
        <x:f>IF(F13&gt;E13,F13-E13,0)</x:f>
        <x:v>0</x:v>
      </x:c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 t="str">
        <x:v>结算口径</x:v>
      </x:c>
      <x:c r="B15" s="2" t="str">
        <x:v>合同终止且已有部分结果书面验收即结算，适用于任何部分验收后终止；只计已验收分项并抵扣全部已付，不套50%/30%，退出义务继续。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来源</x:v>
      </x:c>
      <x:c r="B17" s="2" t="str">
        <x:v>总价/分项/建议：需求R05-R06；原稿第九条及附件B1。模板第八、九条物理页11-13。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 t="str">
        <x:v>输入颜色</x:v>
      </x:c>
      <x:c r="B19" s="2" t="str">
        <x:v>浅黄色为可编辑比例、价款和验收计入；公式与原稿分别保留。计入1表示验收，0表示未验收。</x:v>
      </x:c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conditionalFormatting sqref="J6:J8">
    <x:cfRule type="cellIs" dxfId="0" priority="1" operator="notEqual">
      <x:formula>0</x:formula>
    </x:cfRule>
  </x:conditionalFormatting>
  <x:pageMargins left="0.7" right="0.7" top="0.75" bottom="0.75" header="0.3" footer="0.3"/>
</x:worksheet>
</file>
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5a92b26c8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动日历" sheetId="1" r:id="Rca033685db924d05"/>
    <x:sheet xmlns:r="http://schemas.openxmlformats.org/officeDocument/2006/relationships" name="输入事件" sheetId="2" r:id="R9718ef5f57b0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302B41"/>
      </x:patternFill>
    </x:fill>
  </x:fills>
  <x:borders count="2">
    <x:border/>
    <x:border>
      <x:bottom style="thin">
        <x:color rgb="FFDDD6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4254D"/>
      </x:font>
      <x:fill>
        <x:patternFill>
          <x:bgColor rgb="FFEF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847cf64e945f1" /><Relationship Type="http://schemas.openxmlformats.org/officeDocument/2006/relationships/theme" Target="/xl/theme/theme1.xml" Id="Rc83174e82b484f35" /><Relationship Type="http://schemas.openxmlformats.org/officeDocument/2006/relationships/sharedStrings" Target="/xl/sharedStrings.xml" Id="R5b390f60cb1c4862" /><Relationship Type="http://schemas.openxmlformats.org/officeDocument/2006/relationships/worksheet" Target="/xl/worksheets/sheet1.xml" Id="Rca033685db924d05" /><Relationship Type="http://schemas.openxmlformats.org/officeDocument/2006/relationships/worksheet" Target="/xl/worksheets/sheet2.xml" Id="R9718ef5f57b043b9" /></Relationships>
</file>

<file path=xl/tables/table1.xml><?xml version="1.0" encoding="utf-8"?>
<x:table xmlns:x="http://schemas.openxmlformats.org/spreadsheetml/2006/main" id="1" name="ActionCalendar" displayName="ActionCalendar" ref="A6:L24" headerRowCount="1" totalsRowCount="0" totalsRowShown="0">
  <x:autoFilter ref="A6:L24"/>
  <x:tableColumns count="12">
    <x:tableColumn id="1" name="ID"/>
    <x:tableColumn id="2" name="阶段状态"/>
    <x:tableColumn id="3" name="办理动作"/>
    <x:tableColumn id="4" name="触发日"/>
    <x:tableColumn id="5" name="期限量"/>
    <x:tableColumn id="6" name="期限单位"/>
    <x:tableColumn id="7" name="规则届满或边界日"/>
    <x:tableColumn id="8" name="内部目标日"/>
    <x:tableColumn id="9" name="责任人"/>
    <x:tableColumn id="10" name="下一步或待确认"/>
    <x:tableColumn id="11" name="依据"/>
    <x:tableColumn id="12" name="进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vents" displayName="InputEvents" ref="A5:F18" headerRowCount="1" totalsRowCount="0" totalsRowShown="0">
  <x:tableColumns count="6">
    <x:tableColumn id="1" name="事件ID"/>
    <x:tableColumn id="2" name="事项"/>
    <x:tableColumn id="3" name="日期"/>
    <x:tableColumn id="4" name="阶段状态"/>
    <x:tableColumn id="5" name="事实角色"/>
    <x:tableColumn id="6" name="输入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1ac3ac77c45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6173337fe547f2" /></Relationships>
</file>

<file path=xl/worksheets/sheet1.xml><?xml version="1.0" encoding="utf-8"?>
<x:worksheet xmlns:x="http://schemas.openxmlformats.org/spreadsheetml/2006/main">
  <x:sheetPr>
    <x:tabColor rgb="FF302B4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670000076293945" hidden="0" customWidth="1"/>
    <x:col min="2" max="2" width="17.219999313354492" hidden="0" customWidth="1"/>
    <x:col min="3" max="3" width="20" hidden="0" customWidth="1"/>
    <x:col min="4" max="4" width="12" hidden="0" customWidth="1"/>
    <x:col min="5" max="5" width="7.559999942779541" hidden="0" customWidth="1"/>
    <x:col min="6" max="6" width="12.220000267028809" hidden="0" customWidth="1"/>
    <x:col min="7" max="7" width="15.890000343322754" hidden="0" customWidth="1"/>
    <x:col min="8" max="8" width="12" hidden="0" customWidth="1"/>
    <x:col min="9" max="9" width="15.5600004196167" hidden="0" customWidth="1"/>
    <x:col min="10" max="10" width="41.66999816894531" hidden="0" customWidth="1"/>
    <x:col min="11" max="11" width="23.889999389648438" hidden="0" customWidth="1"/>
    <x:col min="12" max="12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澄海仲裁程序行动日历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基准日：2025-04-04。未来行均为条件预案；边界日须先于事件，不能当天全日提交。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先按连续日历日保守控制；实际提交安排向机构核对。G列控制日期，H列建议办理日。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3" customHeight="1">
      <x:c r="A6" s="9" t="str">
        <x:v>ID</x:v>
      </x:c>
      <x:c r="B6" s="9" t="str">
        <x:v>阶段状态</x:v>
      </x:c>
      <x:c r="C6" s="9" t="str">
        <x:v>办理动作</x:v>
      </x:c>
      <x:c r="D6" s="9" t="str">
        <x:v>触发日</x:v>
      </x:c>
      <x:c r="E6" s="9" t="str">
        <x:v>期限量</x:v>
      </x:c>
      <x:c r="F6" s="9" t="str">
        <x:v>期限单位</x:v>
      </x:c>
      <x:c r="G6" s="9" t="str">
        <x:v>规则届满或边界日</x:v>
      </x:c>
      <x:c r="H6" s="9" t="str">
        <x:v>内部目标日</x:v>
      </x:c>
      <x:c r="I6" s="9" t="str">
        <x:v>责任人</x:v>
      </x:c>
      <x:c r="J6" s="9" t="str">
        <x:v>下一步或待确认</x:v>
      </x:c>
      <x:c r="K6" s="9" t="str">
        <x:v>依据</x:v>
      </x:c>
      <x:c r="L6" s="9" t="str">
        <x:v>进度</x:v>
      </x:c>
    </x:row>
    <x:row r="7" ht="36" customHeight="1">
      <x:c r="A7" s="2" t="str">
        <x:v>A01</x:v>
      </x:c>
      <x:c r="B7" s="10" t="str">
        <x:v>当前已触发</x:v>
      </x:c>
      <x:c r="C7" s="10" t="str">
        <x:v>选己方仲裁员</x:v>
      </x:c>
      <x:c r="D7" s="4" t="n">
        <x:f>IF('输入事件'!C7="","",'输入事件'!C7)</x:f>
        <x:v>45744</x:v>
      </x:c>
      <x:c r="E7" s="2" t="n">
        <x:v>15</x:v>
      </x:c>
      <x:c r="F7" s="2" t="str">
        <x:v>自然日</x:v>
      </x:c>
      <x:c r="G7" s="4" t="n">
        <x:f>IF(D7="","",D7+E7)</x:f>
        <x:v>45759</x:v>
      </x:c>
      <x:c r="H7" s="5" t="n">
        <x:v>45755</x:v>
      </x:c>
      <x:c r="I7" s="10" t="str">
        <x:v>法务/代理律师</x:v>
      </x:c>
      <x:c r="J7" s="10" t="str">
        <x:v>查名册、独立性并获授权</x:v>
      </x:c>
      <x:c r="K7" s="10" t="str">
        <x:v>27(1),70；PDF28,48</x:v>
      </x:c>
      <x:c r="L7" s="2" t="str">
        <x:v>待办理</x:v>
      </x:c>
    </x:row>
    <x:row r="8" ht="36" customHeight="1">
      <x:c r="A8" s="2" t="str">
        <x:v>A02</x:v>
      </x:c>
      <x:c r="B8" s="10" t="str">
        <x:v>当前已触发</x:v>
      </x:c>
      <x:c r="C8" s="10" t="str">
        <x:v>共选/委托选首席</x:v>
      </x:c>
      <x:c r="D8" s="4" t="n">
        <x:f>IF('输入事件'!C7="","",'输入事件'!C7)</x:f>
        <x:v>45744</x:v>
      </x:c>
      <x:c r="E8" s="2" t="n">
        <x:v>15</x:v>
      </x:c>
      <x:c r="F8" s="2" t="str">
        <x:v>自然日</x:v>
      </x:c>
      <x:c r="G8" s="4" t="n">
        <x:f>IF(D8="","",D8+E8)</x:f>
        <x:v>45759</x:v>
      </x:c>
      <x:c r="H8" s="5" t="n">
        <x:v>45755</x:v>
      </x:c>
      <x:c r="I8" s="10" t="str">
        <x:v>法务/代理律师</x:v>
      </x:c>
      <x:c r="J8" s="10" t="str">
        <x:v>优先由双方共同委托主任指定首席；仍在15日内提交，不等待管辖异议结果</x:v>
      </x:c>
      <x:c r="K8" s="10" t="str">
        <x:v>27(2),(4)；PDF28</x:v>
      </x:c>
      <x:c r="L8" s="2" t="str">
        <x:v>待办理</x:v>
      </x:c>
    </x:row>
    <x:row r="9" ht="36" customHeight="1">
      <x:c r="A9" s="2" t="str">
        <x:v>A03</x:v>
      </x:c>
      <x:c r="B9" s="10" t="str">
        <x:v>当前已触发</x:v>
      </x:c>
      <x:c r="C9" s="10" t="str">
        <x:v>答辩及证据提交</x:v>
      </x:c>
      <x:c r="D9" s="4" t="n">
        <x:f>IF('输入事件'!C7="","",'输入事件'!C7)</x:f>
        <x:v>45744</x:v>
      </x:c>
      <x:c r="E9" s="2" t="n">
        <x:v>20</x:v>
      </x:c>
      <x:c r="F9" s="2" t="str">
        <x:v>自然日</x:v>
      </x:c>
      <x:c r="G9" s="4" t="n">
        <x:f>IF(D9="","",D9+E9)</x:f>
        <x:v>45764</x:v>
      </x:c>
      <x:c r="H9" s="5" t="n">
        <x:v>45761</x:v>
      </x:c>
      <x:c r="I9" s="10" t="str">
        <x:v>代理律师/项目部</x:v>
      </x:c>
      <x:c r="J9" s="10" t="str">
        <x:v>按原期限准备；延期申请未获批</x:v>
      </x:c>
      <x:c r="K9" s="10" t="str">
        <x:v>71(1),(3)；PDF48-49</x:v>
      </x:c>
      <x:c r="L9" s="2" t="str">
        <x:v>待办理</x:v>
      </x:c>
    </x:row>
    <x:row r="10" ht="36" customHeight="1">
      <x:c r="A10" s="2" t="str">
        <x:v>A04</x:v>
      </x:c>
      <x:c r="B10" s="10" t="str">
        <x:v>当前已触发</x:v>
      </x:c>
      <x:c r="C10" s="10" t="str">
        <x:v>反请求及证据提交</x:v>
      </x:c>
      <x:c r="D10" s="4" t="n">
        <x:f>IF('输入事件'!C7="","",'输入事件'!C7)</x:f>
        <x:v>45744</x:v>
      </x:c>
      <x:c r="E10" s="2" t="n">
        <x:v>20</x:v>
      </x:c>
      <x:c r="F10" s="2" t="str">
        <x:v>自然日</x:v>
      </x:c>
      <x:c r="G10" s="4" t="n">
        <x:f>IF(D10="","",D10+E10)</x:f>
        <x:v>45764</x:v>
      </x:c>
      <x:c r="H10" s="5" t="n">
        <x:v>45761</x:v>
      </x:c>
      <x:c r="I10" s="10" t="str">
        <x:v>代理律师/项目部</x:v>
      </x:c>
      <x:c r="J10" s="10" t="str">
        <x:v>具体事项、事实理由及证据；跟踪缴费</x:v>
      </x:c>
      <x:c r="K10" s="10" t="str">
        <x:v>71;16(2)-(3)；PDF21-22,48-49</x:v>
      </x:c>
      <x:c r="L10" s="2" t="str">
        <x:v>待办理</x:v>
      </x:c>
    </x:row>
    <x:row r="11" ht="36" customHeight="1">
      <x:c r="A11" s="2" t="str">
        <x:v>A05</x:v>
      </x:c>
      <x:c r="B11" s="10" t="str">
        <x:v>开庭条件分支</x:v>
      </x:c>
      <x:c r="C11" s="10" t="str">
        <x:v>先书面提管辖异议</x:v>
      </x:c>
      <x:c r="D11" s="4" t="n">
        <x:f>IF('输入事件'!C13="","",'输入事件'!C13)</x:f>
        <x:v>45799</x:v>
      </x:c>
      <x:c r="E11" s="2"/>
      <x:c r="F11" s="2" t="str">
        <x:v>事件边界</x:v>
      </x:c>
      <x:c r="G11" s="4" t="n">
        <x:f>IF(D11="","",D11)</x:f>
        <x:v>45799</x:v>
      </x:c>
      <x:c r="H11" s="5" t="n">
        <x:v>45755</x:v>
      </x:c>
      <x:c r="I11" s="10" t="str">
        <x:v>代理律师</x:v>
      </x:c>
      <x:c r="J11" s="10" t="str">
        <x:v>须在5月22日09:00首次开庭前；不停止程序</x:v>
      </x:c>
      <x:c r="K11" s="10" t="str">
        <x:v>6(4)-(5)；PDF16</x:v>
      </x:c>
      <x:c r="L11" s="2" t="str">
        <x:v>条件未发生</x:v>
      </x:c>
    </x:row>
    <x:row r="12" ht="36" customHeight="1">
      <x:c r="A12" s="2" t="str">
        <x:v>A06</x:v>
      </x:c>
      <x:c r="B12" s="10" t="str">
        <x:v>互斥书面分支</x:v>
      </x:c>
      <x:c r="C12" s="10" t="str">
        <x:v>先书面提管辖异议</x:v>
      </x:c>
      <x:c r="D12" s="4" t="n">
        <x:f>IF('输入事件'!C14="","",'输入事件'!C14)</x:f>
        <x:v>45757</x:v>
      </x:c>
      <x:c r="E12" s="2"/>
      <x:c r="F12" s="2" t="str">
        <x:v>事件边界</x:v>
      </x:c>
      <x:c r="G12" s="4" t="n">
        <x:f>IF(D12="","",D12)</x:f>
        <x:v>45757</x:v>
      </x:c>
      <x:c r="H12" s="5" t="n">
        <x:v>45755</x:v>
      </x:c>
      <x:c r="I12" s="10" t="str">
        <x:v>代理律师</x:v>
      </x:c>
      <x:c r="J12" s="10" t="str">
        <x:v>须在4月10日10:00首次实体答辩前</x:v>
      </x:c>
      <x:c r="K12" s="10" t="str">
        <x:v>6(4)；PDF16</x:v>
      </x:c>
      <x:c r="L12" s="2" t="str">
        <x:v>条件未发生</x:v>
      </x:c>
    </x:row>
    <x:row r="13" ht="36" customHeight="1">
      <x:c r="A13" s="2" t="str">
        <x:v>A07</x:v>
      </x:c>
      <x:c r="B13" s="10" t="str">
        <x:v>披露条件分支</x:v>
      </x:c>
      <x:c r="C13" s="10" t="str">
        <x:v>已披露事项回避</x:v>
      </x:c>
      <x:c r="D13" s="4" t="n">
        <x:f>IF('输入事件'!C11="","",'输入事件'!C11)</x:f>
        <x:v>45772</x:v>
      </x:c>
      <x:c r="E13" s="2" t="n">
        <x:v>10</x:v>
      </x:c>
      <x:c r="F13" s="2" t="str">
        <x:v>自然日</x:v>
      </x:c>
      <x:c r="G13" s="4" t="n">
        <x:f>IF(D13="","",D13+E13)</x:f>
        <x:v>45782</x:v>
      </x:c>
      <x:c r="H13" s="5" t="n">
        <x:v>45777</x:v>
      </x:c>
      <x:c r="I13" s="10" t="str">
        <x:v>代理律师/法务</x:v>
      </x:c>
      <x:c r="J13" s="10" t="str">
        <x:v>基于披露事项用10天，附具体理由证据</x:v>
      </x:c>
      <x:c r="K13" s="10" t="str">
        <x:v>32(1)-(2)；PDF31</x:v>
      </x:c>
      <x:c r="L13" s="2" t="str">
        <x:v>条件未发生</x:v>
      </x:c>
    </x:row>
    <x:row r="14" ht="36" customHeight="1">
      <x:c r="A14" s="2" t="str">
        <x:v>A08</x:v>
      </x:c>
      <x:c r="B14" s="10" t="str">
        <x:v>组庭条件分支</x:v>
      </x:c>
      <x:c r="C14" s="10" t="str">
        <x:v>一般已知事由回避</x:v>
      </x:c>
      <x:c r="D14" s="4" t="n">
        <x:f>IF('输入事件'!C10="","",'输入事件'!C10)</x:f>
        <x:v>45772</x:v>
      </x:c>
      <x:c r="E14" s="2" t="n">
        <x:v>15</x:v>
      </x:c>
      <x:c r="F14" s="2" t="str">
        <x:v>自然日</x:v>
      </x:c>
      <x:c r="G14" s="4" t="n">
        <x:f>IF(D14="","",D14+E14)</x:f>
        <x:v>45787</x:v>
      </x:c>
      <x:c r="H14" s="5" t="n">
        <x:v>45777</x:v>
      </x:c>
      <x:c r="I14" s="10" t="str">
        <x:v>代理律师/法务</x:v>
      </x:c>
      <x:c r="J14" s="10" t="str">
        <x:v>一般事由15天不能延长A07披露事项期限</x:v>
      </x:c>
      <x:c r="K14" s="10" t="str">
        <x:v>32(3)；PDF31</x:v>
      </x:c>
      <x:c r="L14" s="2" t="str">
        <x:v>条件未发生</x:v>
      </x:c>
    </x:row>
    <x:row r="15" ht="36" customHeight="1">
      <x:c r="A15" s="2" t="str">
        <x:v>A09</x:v>
      </x:c>
      <x:c r="B15" s="10" t="str">
        <x:v>开庭条件分支</x:v>
      </x:c>
      <x:c r="C15" s="10" t="str">
        <x:v>书面申请延期开庭</x:v>
      </x:c>
      <x:c r="D15" s="4" t="n">
        <x:f>IF('输入事件'!C12="","",'输入事件'!C12)</x:f>
        <x:v>45786</x:v>
      </x:c>
      <x:c r="E15" s="2" t="n">
        <x:v>3</x:v>
      </x:c>
      <x:c r="F15" s="2" t="str">
        <x:v>自然日</x:v>
      </x:c>
      <x:c r="G15" s="4" t="n">
        <x:f>IF(D15="","",D15+E15)</x:f>
        <x:v>45789</x:v>
      </x:c>
      <x:c r="H15" s="5" t="n">
        <x:v>45786</x:v>
      </x:c>
      <x:c r="I15" s="10" t="str">
        <x:v>代理律师/项目部</x:v>
      </x:c>
      <x:c r="J15" s="10" t="str">
        <x:v>附培训冲突材料；庭期短也需请求决定</x:v>
      </x:c>
      <x:c r="K15" s="10" t="str">
        <x:v>72(1)-(2)；PDF49</x:v>
      </x:c>
      <x:c r="L15" s="2" t="str">
        <x:v>条件未发生</x:v>
      </x:c>
    </x:row>
    <x:row r="16" ht="36" customHeight="1">
      <x:c r="A16" s="2" t="str">
        <x:v>A10</x:v>
      </x:c>
      <x:c r="B16" s="10" t="str">
        <x:v>开庭条件分支</x:v>
      </x:c>
      <x:c r="C16" s="10" t="str">
        <x:v>监测首次庭最迟通知</x:v>
      </x:c>
      <x:c r="D16" s="4" t="n">
        <x:f>IF('输入事件'!C13="","",'输入事件'!C13)</x:f>
        <x:v>45799</x:v>
      </x:c>
      <x:c r="E16" s="2" t="n">
        <x:v>-15</x:v>
      </x:c>
      <x:c r="F16" s="2" t="str">
        <x:v>倒推自然日</x:v>
      </x:c>
      <x:c r="G16" s="4" t="n">
        <x:f>IF(D16="","",D16+E16)</x:f>
        <x:v>45784</x:v>
      </x:c>
      <x:c r="H16" s="5"/>
      <x:c r="I16" s="10" t="str">
        <x:v>代理律师</x:v>
      </x:c>
      <x:c r="J16" s="10" t="str">
        <x:v>5月9日实收仅13天，短2天，立即书面异议</x:v>
      </x:c>
      <x:c r="K16" s="10" t="str">
        <x:v>72(1),10；PDF18,49</x:v>
      </x:c>
      <x:c r="L16" s="2" t="str">
        <x:v>条件未发生</x:v>
      </x:c>
    </x:row>
    <x:row r="17" ht="36" customHeight="1">
      <x:c r="A17" s="2" t="str">
        <x:v>A11</x:v>
      </x:c>
      <x:c r="B17" s="10" t="str">
        <x:v>普通条件分支</x:v>
      </x:c>
      <x:c r="C17" s="10" t="str">
        <x:v>监测裁决基准上限</x:v>
      </x:c>
      <x:c r="D17" s="4" t="n">
        <x:f>IF('输入事件'!C10="","",'输入事件'!C10)</x:f>
        <x:v>45772</x:v>
      </x:c>
      <x:c r="E17" s="2" t="n">
        <x:v>4</x:v>
      </x:c>
      <x:c r="F17" s="2" t="str">
        <x:v>公历月</x:v>
      </x:c>
      <x:c r="G17" s="4" t="n">
        <x:f>IF(D17="","",EDATE(D17,E17))</x:f>
        <x:v>45894</x:v>
      </x:c>
      <x:c r="H17" s="5"/>
      <x:c r="I17" s="10" t="str">
        <x:v>代理律师</x:v>
      </x:c>
      <x:c r="J17" s="10" t="str">
        <x:v>中止不计入；有权按规则延长，非保证</x:v>
      </x:c>
      <x:c r="K17" s="10" t="str">
        <x:v>74；PDF49-50</x:v>
      </x:c>
      <x:c r="L17" s="2" t="str">
        <x:v>条件未发生</x:v>
      </x:c>
    </x:row>
    <x:row r="18" ht="36" customHeight="1">
      <x:c r="A18" s="2" t="str">
        <x:v>A12</x:v>
      </x:c>
      <x:c r="B18" s="10" t="str">
        <x:v>改简易条件分支</x:v>
      </x:c>
      <x:c r="C18" s="10" t="str">
        <x:v>监测简易裁决上限</x:v>
      </x:c>
      <x:c r="D18" s="4" t="n">
        <x:f>IF('输入事件'!C10="","",'输入事件'!C10)</x:f>
        <x:v>45772</x:v>
      </x:c>
      <x:c r="E18" s="2" t="n">
        <x:v>3</x:v>
      </x:c>
      <x:c r="F18" s="2" t="str">
        <x:v>公历月</x:v>
      </x:c>
      <x:c r="G18" s="4" t="n">
        <x:f>IF(D18="","",EDATE(D18,E18))</x:f>
        <x:v>45863</x:v>
      </x:c>
      <x:c r="H18" s="5"/>
      <x:c r="I18" s="10" t="str">
        <x:v>代理律师</x:v>
      </x:c>
      <x:c r="J18" s="10" t="str">
        <x:v>仅双方简易条件成立；日期不自动重置</x:v>
      </x:c>
      <x:c r="K18" s="10" t="str">
        <x:v>65；PDF47</x:v>
      </x:c>
      <x:c r="L18" s="2" t="str">
        <x:v>条件未发生</x:v>
      </x:c>
    </x:row>
    <x:row r="19" ht="36" customHeight="1">
      <x:c r="A19" s="2" t="str">
        <x:v>A13</x:v>
      </x:c>
      <x:c r="B19" s="10" t="str">
        <x:v>独立裁决后分支</x:v>
      </x:c>
      <x:c r="C19" s="10" t="str">
        <x:v>当事人申请更正</x:v>
      </x:c>
      <x:c r="D19" s="4" t="n">
        <x:f>IF('输入事件'!C15="","",'输入事件'!C15)</x:f>
        <x:v>45909</x:v>
      </x:c>
      <x:c r="E19" s="2" t="n">
        <x:v>30</x:v>
      </x:c>
      <x:c r="F19" s="2" t="str">
        <x:v>自然日</x:v>
      </x:c>
      <x:c r="G19" s="4" t="n">
        <x:f>IF(D19="","",D19+E19)</x:f>
        <x:v>45939</x:v>
      </x:c>
      <x:c r="H19" s="5" t="n">
        <x:v>45931</x:v>
      </x:c>
      <x:c r="I19" s="10" t="str">
        <x:v>代理律师/法务</x:v>
      </x:c>
      <x:c r="J19" s="10" t="str">
        <x:v>书写打印计算及类似错误；非重审实体</x:v>
      </x:c>
      <x:c r="K19" s="10" t="str">
        <x:v>56(2)；PDF44</x:v>
      </x:c>
      <x:c r="L19" s="2" t="str">
        <x:v>条件未发生</x:v>
      </x:c>
    </x:row>
    <x:row r="20" ht="36" customHeight="1">
      <x:c r="A20" s="2" t="str">
        <x:v>A14</x:v>
      </x:c>
      <x:c r="B20" s="10" t="str">
        <x:v>独立裁决后分支</x:v>
      </x:c>
      <x:c r="C20" s="10" t="str">
        <x:v>当事人申请补充</x:v>
      </x:c>
      <x:c r="D20" s="4" t="n">
        <x:f>IF('输入事件'!C15="","",'输入事件'!C15)</x:f>
        <x:v>45909</x:v>
      </x:c>
      <x:c r="E20" s="2" t="n">
        <x:v>30</x:v>
      </x:c>
      <x:c r="F20" s="2" t="str">
        <x:v>自然日</x:v>
      </x:c>
      <x:c r="G20" s="4" t="n">
        <x:f>IF(D20="","",D20+E20)</x:f>
        <x:v>45939</x:v>
      </x:c>
      <x:c r="H20" s="5" t="n">
        <x:v>45931</x:v>
      </x:c>
      <x:c r="I20" s="10" t="str">
        <x:v>代理律师/法务</x:v>
      </x:c>
      <x:c r="J20" s="10" t="str">
        <x:v>核查已提出的请求或反请求漏裁</x:v>
      </x:c>
      <x:c r="K20" s="10" t="str">
        <x:v>57(2)；PDF45</x:v>
      </x:c>
      <x:c r="L20" s="2" t="str">
        <x:v>条件未发生</x:v>
      </x:c>
    </x:row>
    <x:row r="21" ht="36" customHeight="1">
      <x:c r="A21" s="2" t="str">
        <x:v>A15</x:v>
      </x:c>
      <x:c r="B21" s="10" t="str">
        <x:v>尚未触发</x:v>
      </x:c>
      <x:c r="C21" s="10" t="str">
        <x:v>反请求缴费</x:v>
      </x:c>
      <x:c r="D21" s="4" t="str">
        <x:f>IF('输入事件'!C18="","",'输入事件'!C18)</x:f>
      </x:c>
      <x:c r="E21" s="2"/>
      <x:c r="F21" s="2" t="str">
        <x:v>待机构通知</x:v>
      </x:c>
      <x:c r="G21" s="4"/>
      <x:c r="H21" s="5"/>
      <x:c r="I21" s="10" t="str">
        <x:v>财务/代理律师</x:v>
      </x:c>
      <x:c r="J21" s="10" t="str">
        <x:v>收到通知核对金额期限；预留至少2自然日支付</x:v>
      </x:c>
      <x:c r="K21" s="10" t="str">
        <x:v>16(3)；PDF22</x:v>
      </x:c>
      <x:c r="L21" s="2" t="str">
        <x:v>待缴费通知</x:v>
      </x:c>
    </x:row>
    <x:row r="22" ht="36" customHeight="1">
      <x:c r="A22" s="2" t="str">
        <x:v>A16</x:v>
      </x:c>
      <x:c r="B22" s="10" t="str">
        <x:v>反请求条件分支</x:v>
      </x:c>
      <x:c r="C22" s="10" t="str">
        <x:v>监测对方反请求答辩</x:v>
      </x:c>
      <x:c r="D22" s="4" t="n">
        <x:f>IF('输入事件'!C17="","",'输入事件'!C17)</x:f>
        <x:v>45768</x:v>
      </x:c>
      <x:c r="E22" s="2" t="n">
        <x:v>20</x:v>
      </x:c>
      <x:c r="F22" s="2" t="str">
        <x:v>自然日</x:v>
      </x:c>
      <x:c r="G22" s="4" t="n">
        <x:f>IF(D22="","",D22+E22)</x:f>
        <x:v>45788</x:v>
      </x:c>
      <x:c r="H22" s="5"/>
      <x:c r="I22" s="10" t="str">
        <x:v>申请人；本方监测</x:v>
      </x:c>
      <x:c r="J22" s="10" t="str">
        <x:v>对方期限届满并非本方提交期限</x:v>
      </x:c>
      <x:c r="K22" s="10" t="str">
        <x:v>71(2)；PDF48</x:v>
      </x:c>
      <x:c r="L22" s="2" t="str">
        <x:v>条件未发生</x:v>
      </x:c>
    </x:row>
    <x:row r="23" ht="36" customHeight="1">
      <x:c r="A23" s="2" t="str">
        <x:v>A17</x:v>
      </x:c>
      <x:c r="B23" s="10" t="str">
        <x:v>独立裁决后分支</x:v>
      </x:c>
      <x:c r="C23" s="10" t="str">
        <x:v>监测仲裁庭书面更正</x:v>
      </x:c>
      <x:c r="D23" s="4" t="n">
        <x:f>IF('输入事件'!C16="","",'输入事件'!C16)</x:f>
        <x:v>45931</x:v>
      </x:c>
      <x:c r="E23" s="2" t="n">
        <x:v>30</x:v>
      </x:c>
      <x:c r="F23" s="2" t="str">
        <x:v>自然日</x:v>
      </x:c>
      <x:c r="G23" s="4" t="n">
        <x:f>IF(D23="","",D23+E23)</x:f>
        <x:v>45961</x:v>
      </x:c>
      <x:c r="H23" s="5"/>
      <x:c r="I23" s="10" t="str">
        <x:v>仲裁庭；本方监测</x:v>
      </x:c>
      <x:c r="J23" s="10" t="str">
        <x:v>以确有错误为条件；文书构成裁决组成部分</x:v>
      </x:c>
      <x:c r="K23" s="10" t="str">
        <x:v>56(2)-(3)；PDF44-45</x:v>
      </x:c>
      <x:c r="L23" s="2" t="str">
        <x:v>条件未发生</x:v>
      </x:c>
    </x:row>
    <x:row r="24" ht="36" customHeight="1">
      <x:c r="A24" s="11" t="str">
        <x:v>A18</x:v>
      </x:c>
      <x:c r="B24" s="12" t="str">
        <x:v>独立裁决后分支</x:v>
      </x:c>
      <x:c r="C24" s="12" t="str">
        <x:v>监测仲裁庭补充裁决</x:v>
      </x:c>
      <x:c r="D24" s="13" t="n">
        <x:f>IF('输入事件'!C16="","",'输入事件'!C16)</x:f>
        <x:v>45931</x:v>
      </x:c>
      <x:c r="E24" s="11" t="n">
        <x:v>30</x:v>
      </x:c>
      <x:c r="F24" s="11" t="str">
        <x:v>自然日</x:v>
      </x:c>
      <x:c r="G24" s="13" t="n">
        <x:f>IF(D24="","",D24+E24)</x:f>
        <x:v>45961</x:v>
      </x:c>
      <x:c r="H24" s="14"/>
      <x:c r="I24" s="12" t="str">
        <x:v>仲裁庭；本方监测</x:v>
      </x:c>
      <x:c r="J24" s="12" t="str">
        <x:v>以确有漏裁为条件；补充构成裁决一部分</x:v>
      </x:c>
      <x:c r="K24" s="12" t="str">
        <x:v>57(2)-(3)；PDF45</x:v>
      </x:c>
      <x:c r="L24" s="11" t="str">
        <x:v>条件未发生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L7:L24">
    <x:cfRule type="containsText" dxfId="0" priority="1" operator="containsText" text="待办理"/>
  </x:conditionalFormatting>
  <x:dataValidations count="1">
    <x:dataValidation type="list" sqref="L7:L24">
      <x:formula1>"待办理,条件未发生,待缴费通知,已办理,已获批准延期"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81ac3ac77c45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33.33000183105469" hidden="0" customWidth="1"/>
    <x:col min="3" max="3" width="13.329999923706055" hidden="0" customWidth="1"/>
    <x:col min="4" max="4" width="31.110000610351562" hidden="0" customWidth="1"/>
    <x:col min="5" max="5" width="26.670000076293945" hidden="0" customWidth="1"/>
    <x:col min="6" max="6" width="40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程序事实与规则依据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来源：案件通知、客户邮件及后续安排；真实规则：CIETAC-2024-CN.pdf，PDF物理页与条款在下表。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15" t="str">
        <x:v>事件ID</x:v>
      </x:c>
      <x:c r="B5" s="15" t="str">
        <x:v>事项</x:v>
      </x:c>
      <x:c r="C5" s="15" t="str">
        <x:v>日期</x:v>
      </x:c>
      <x:c r="D5" s="15" t="str">
        <x:v>阶段状态</x:v>
      </x:c>
      <x:c r="E5" s="15" t="str">
        <x:v>事实角色</x:v>
      </x:c>
      <x:c r="F5" s="15" t="str">
        <x:v>输入定位</x:v>
      </x:c>
      <x:c r="G5" s="2"/>
      <x:c r="H5" s="2"/>
      <x:c r="I5" s="2"/>
      <x:c r="J5" s="2"/>
      <x:c r="K5" s="2"/>
      <x:c r="L5" s="2"/>
    </x:row>
    <x:row r="6" ht="22.5" customHeight="1">
      <x:c r="A6" s="2" t="str">
        <x:v>E00</x:v>
      </x:c>
      <x:c r="B6" s="2" t="str">
        <x:v>计划基准时点</x:v>
      </x:c>
      <x:c r="C6" s="5" t="n">
        <x:v>45751</x:v>
      </x:c>
      <x:c r="D6" s="2" t="str">
        <x:v>已发生</x:v>
      </x:c>
      <x:c r="E6" s="2" t="str">
        <x:v>计划基准</x:v>
      </x:c>
      <x:c r="F6" s="2" t="str">
        <x:v>scenario.md §1</x:v>
      </x:c>
      <x:c r="G6" s="2"/>
      <x:c r="H6" s="2"/>
      <x:c r="I6" s="2"/>
      <x:c r="J6" s="2"/>
      <x:c r="K6" s="2"/>
      <x:c r="L6" s="2"/>
    </x:row>
    <x:row r="7" ht="22.5" customHeight="1">
      <x:c r="A7" s="2" t="str">
        <x:v>E01</x:v>
      </x:c>
      <x:c r="B7" s="2" t="str">
        <x:v>指定邮箱收到完整仲裁通知</x:v>
      </x:c>
      <x:c r="C7" s="5" t="n">
        <x:v>45744</x:v>
      </x:c>
      <x:c r="D7" s="2" t="str">
        <x:v>已发生</x:v>
      </x:c>
      <x:c r="E7" s="2" t="str">
        <x:v>投递记录</x:v>
      </x:c>
      <x:c r="F7" s="2" t="str">
        <x:v>notice.md N02 / delivery-log.csv D01</x:v>
      </x:c>
      <x:c r="G7" s="2"/>
      <x:c r="H7" s="2"/>
      <x:c r="I7" s="2"/>
      <x:c r="J7" s="2"/>
      <x:c r="K7" s="2"/>
      <x:c r="L7" s="2"/>
    </x:row>
    <x:row r="8" ht="22.5" customHeight="1">
      <x:c r="A8" s="2" t="str">
        <x:v>E02</x:v>
      </x:c>
      <x:c r="B8" s="2" t="str">
        <x:v>纸质副本快递签收</x:v>
      </x:c>
      <x:c r="C8" s="5" t="n">
        <x:v>45747</x:v>
      </x:c>
      <x:c r="D8" s="2" t="str">
        <x:v>已发生</x:v>
      </x:c>
      <x:c r="E8" s="2" t="str">
        <x:v>投递记录</x:v>
      </x:c>
      <x:c r="F8" s="2" t="str">
        <x:v>delivery-log.csv D02</x:v>
      </x:c>
      <x:c r="G8" s="2"/>
      <x:c r="H8" s="2"/>
      <x:c r="I8" s="2"/>
      <x:c r="J8" s="2"/>
      <x:c r="K8" s="2"/>
      <x:c r="L8" s="2"/>
    </x:row>
    <x:row r="9" ht="22.5" customHeight="1">
      <x:c r="A9" s="2" t="str">
        <x:v>E03</x:v>
      </x:c>
      <x:c r="B9" s="2" t="str">
        <x:v>法务首次阅读邮件</x:v>
      </x:c>
      <x:c r="C9" s="5" t="n">
        <x:v>45748</x:v>
      </x:c>
      <x:c r="D9" s="2" t="str">
        <x:v>已发生</x:v>
      </x:c>
      <x:c r="E9" s="2" t="str">
        <x:v>客户陈述</x:v>
      </x:c>
      <x:c r="F9" s="2" t="str">
        <x:v>client-email.md C01</x:v>
      </x:c>
      <x:c r="G9" s="2"/>
      <x:c r="H9" s="2"/>
      <x:c r="I9" s="2"/>
      <x:c r="J9" s="2"/>
      <x:c r="K9" s="2"/>
      <x:c r="L9" s="2"/>
    </x:row>
    <x:row r="10" ht="22.5" customHeight="1">
      <x:c r="A10" s="2" t="str">
        <x:v>F01</x:v>
      </x:c>
      <x:c r="B10" s="2" t="str">
        <x:v>组庭通知收到且当日组庭</x:v>
      </x:c>
      <x:c r="C10" s="5" t="n">
        <x:v>45772</x:v>
      </x:c>
      <x:c r="D10" s="2" t="str">
        <x:v>条件预案</x:v>
      </x:c>
      <x:c r="E10" s="2" t="str">
        <x:v>后续条件安排</x:v>
      </x:c>
      <x:c r="F10" s="2" t="str">
        <x:v>future-events.md F01</x:v>
      </x:c>
      <x:c r="G10" s="2"/>
      <x:c r="H10" s="2"/>
      <x:c r="I10" s="2"/>
      <x:c r="J10" s="2"/>
      <x:c r="K10" s="2"/>
      <x:c r="L10" s="2"/>
    </x:row>
    <x:row r="11" ht="22.5" customHeight="1">
      <x:c r="A11" s="2" t="str">
        <x:v>F02</x:v>
      </x:c>
      <x:c r="B11" s="2" t="str">
        <x:v>仲裁员披露收到</x:v>
      </x:c>
      <x:c r="C11" s="5" t="n">
        <x:v>45772</x:v>
      </x:c>
      <x:c r="D11" s="2" t="str">
        <x:v>条件预案</x:v>
      </x:c>
      <x:c r="E11" s="2" t="str">
        <x:v>后续条件安排</x:v>
      </x:c>
      <x:c r="F11" s="2" t="str">
        <x:v>future-events.md F02</x:v>
      </x:c>
      <x:c r="G11" s="2"/>
      <x:c r="H11" s="2"/>
      <x:c r="I11" s="2"/>
      <x:c r="J11" s="2"/>
      <x:c r="K11" s="2"/>
      <x:c r="L11" s="2"/>
    </x:row>
    <x:row r="12" ht="22.5" customHeight="1">
      <x:c r="A12" s="2" t="str">
        <x:v>F03</x:v>
      </x:c>
      <x:c r="B12" s="2" t="str">
        <x:v>首次开庭通知收到</x:v>
      </x:c>
      <x:c r="C12" s="5" t="n">
        <x:v>45786</x:v>
      </x:c>
      <x:c r="D12" s="2" t="str">
        <x:v>条件预案</x:v>
      </x:c>
      <x:c r="E12" s="2" t="str">
        <x:v>后续条件安排</x:v>
      </x:c>
      <x:c r="F12" s="2" t="str">
        <x:v>future-events.md F03</x:v>
      </x:c>
      <x:c r="G12" s="2"/>
      <x:c r="H12" s="2"/>
      <x:c r="I12" s="2"/>
      <x:c r="J12" s="2"/>
      <x:c r="K12" s="2"/>
      <x:c r="L12" s="2"/>
    </x:row>
    <x:row r="13" ht="22.5" customHeight="1">
      <x:c r="A13" s="2" t="str">
        <x:v>F04</x:v>
      </x:c>
      <x:c r="B13" s="2" t="str">
        <x:v>首次开庭09:00开始</x:v>
      </x:c>
      <x:c r="C13" s="5" t="n">
        <x:v>45799</x:v>
      </x:c>
      <x:c r="D13" s="2" t="str">
        <x:v>条件预案</x:v>
      </x:c>
      <x:c r="E13" s="2" t="str">
        <x:v>后续条件安排</x:v>
      </x:c>
      <x:c r="F13" s="2" t="str">
        <x:v>future-events.md F04</x:v>
      </x:c>
      <x:c r="G13" s="2"/>
      <x:c r="H13" s="2"/>
      <x:c r="I13" s="2"/>
      <x:c r="J13" s="2"/>
      <x:c r="K13" s="2"/>
      <x:c r="L13" s="2"/>
    </x:row>
    <x:row r="14" ht="22.5" customHeight="1">
      <x:c r="A14" s="2" t="str">
        <x:v>F05</x:v>
      </x:c>
      <x:c r="B14" s="2" t="str">
        <x:v>仅书面审理分支首次实体答辩</x:v>
      </x:c>
      <x:c r="C14" s="5" t="n">
        <x:v>45757</x:v>
      </x:c>
      <x:c r="D14" s="2" t="str">
        <x:v>互斥条件预案</x:v>
      </x:c>
      <x:c r="E14" s="2" t="str">
        <x:v>后续条件安排</x:v>
      </x:c>
      <x:c r="F14" s="2" t="str">
        <x:v>future-events.md F05</x:v>
      </x:c>
      <x:c r="G14" s="2"/>
      <x:c r="H14" s="2"/>
      <x:c r="I14" s="2"/>
      <x:c r="J14" s="2"/>
      <x:c r="K14" s="2"/>
      <x:c r="L14" s="2"/>
    </x:row>
    <x:row r="15" ht="22.5" customHeight="1">
      <x:c r="A15" s="2" t="str">
        <x:v>F06</x:v>
      </x:c>
      <x:c r="B15" s="2" t="str">
        <x:v>裁决后模块收到纸质裁决书</x:v>
      </x:c>
      <x:c r="C15" s="5" t="n">
        <x:v>45909</x:v>
      </x:c>
      <x:c r="D15" s="2" t="str">
        <x:v>独立条件预案</x:v>
      </x:c>
      <x:c r="E15" s="2" t="str">
        <x:v>后续条件安排</x:v>
      </x:c>
      <x:c r="F15" s="2" t="str">
        <x:v>future-events.md F06</x:v>
      </x:c>
      <x:c r="G15" s="2"/>
      <x:c r="H15" s="2"/>
      <x:c r="I15" s="2"/>
      <x:c r="J15" s="2"/>
      <x:c r="K15" s="2"/>
      <x:c r="L15" s="2"/>
    </x:row>
    <x:row r="16" ht="22.5" customHeight="1">
      <x:c r="A16" s="2" t="str">
        <x:v>F07</x:v>
      </x:c>
      <x:c r="B16" s="2" t="str">
        <x:v>仲裁庭收到更正/补充书面申请</x:v>
      </x:c>
      <x:c r="C16" s="5" t="n">
        <x:v>45931</x:v>
      </x:c>
      <x:c r="D16" s="2" t="str">
        <x:v>独立条件预案</x:v>
      </x:c>
      <x:c r="E16" s="2" t="str">
        <x:v>后续条件安排</x:v>
      </x:c>
      <x:c r="F16" s="2" t="str">
        <x:v>future-events.md F07</x:v>
      </x:c>
      <x:c r="G16" s="2"/>
      <x:c r="H16" s="2"/>
      <x:c r="I16" s="2"/>
      <x:c r="J16" s="2"/>
      <x:c r="K16" s="2"/>
      <x:c r="L16" s="2"/>
    </x:row>
    <x:row r="17" ht="22.5" customHeight="1">
      <x:c r="A17" s="2" t="str">
        <x:v>F08</x:v>
      </x:c>
      <x:c r="B17" s="2" t="str">
        <x:v>申请人收到反请求受理通知</x:v>
      </x:c>
      <x:c r="C17" s="5" t="n">
        <x:v>45768</x:v>
      </x:c>
      <x:c r="D17" s="2" t="str">
        <x:v>条件预案</x:v>
      </x:c>
      <x:c r="E17" s="2" t="str">
        <x:v>后续条件安排</x:v>
      </x:c>
      <x:c r="F17" s="2" t="str">
        <x:v>future-events.md F08</x:v>
      </x:c>
      <x:c r="G17" s="2"/>
      <x:c r="H17" s="2"/>
      <x:c r="I17" s="2"/>
      <x:c r="J17" s="2"/>
      <x:c r="K17" s="2"/>
      <x:c r="L17" s="2"/>
    </x:row>
    <x:row r="18" ht="22.5" customHeight="1">
      <x:c r="A18" s="2" t="str">
        <x:v>F09</x:v>
      </x:c>
      <x:c r="B18" s="2" t="str">
        <x:v>反请求仲裁费缴费通知截止</x:v>
      </x:c>
      <x:c r="C18" s="5"/>
      <x:c r="D18" s="2" t="str">
        <x:v>尚未触发</x:v>
      </x:c>
      <x:c r="E18" s="2" t="str">
        <x:v>缺失事件</x:v>
      </x:c>
      <x:c r="F18" s="2" t="str">
        <x:v>client-email.md C02</x:v>
      </x:c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 t="str">
        <x:v>保守口径：次日起连续计算日历日，月按对应日；实际顺延及接收安排须向机构核对。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15" t="str">
        <x:v>规则条款</x:v>
      </x:c>
      <x:c r="B23" s="15" t="str">
        <x:v>PDF物理页</x:v>
      </x:c>
      <x:c r="C23" s="15" t="str">
        <x:v>适用事项</x:v>
      </x:c>
      <x:c r="D23" s="15" t="str">
        <x:v>规则内容摘要</x:v>
      </x:c>
      <x:c r="E23" s="15" t="str">
        <x:v>备注</x:v>
      </x:c>
      <x:c r="F23" s="2"/>
      <x:c r="G23" s="2"/>
      <x:c r="H23" s="2"/>
      <x:c r="I23" s="2"/>
      <x:c r="J23" s="2"/>
      <x:c r="K23" s="2"/>
      <x:c r="L23" s="2"/>
    </x:row>
    <x:row r="24" ht="33.75" customHeight="1">
      <x:c r="A24" s="10" t="str">
        <x:v>8(1)-(5)</x:v>
      </x:c>
      <x:c r="B24" s="10" t="str">
        <x:v>16-17</x:v>
      </x:c>
      <x:c r="C24" s="10" t="str">
        <x:v>送达与起算</x:v>
      </x:c>
      <x:c r="D24" s="10" t="str">
        <x:v>电子送达指定地址、次日开始计算</x:v>
      </x:c>
      <x:c r="E24" s="10" t="str">
        <x:v>不含休日顺延条款</x:v>
      </x:c>
      <x:c r="F24" s="2"/>
      <x:c r="G24" s="2"/>
      <x:c r="H24" s="2"/>
      <x:c r="I24" s="2"/>
      <x:c r="J24" s="2"/>
      <x:c r="K24" s="2"/>
      <x:c r="L24" s="2"/>
    </x:row>
    <x:row r="25" ht="33.75" customHeight="1">
      <x:c r="A25" s="10" t="str">
        <x:v>68,71,75</x:v>
      </x:c>
      <x:c r="B25" s="10" t="str">
        <x:v>48-50</x:v>
      </x:c>
      <x:c r="C25" s="10" t="str">
        <x:v>国内程序优先</x:v>
      </x:c>
      <x:c r="D25" s="10" t="str">
        <x:v>答辩反请求20天，20天反请求答辩</x:v>
      </x:c>
      <x:c r="E25" s="10" t="str">
        <x:v>一般15-16条45天不适用</x:v>
      </x:c>
      <x:c r="F25" s="2"/>
      <x:c r="G25" s="2"/>
      <x:c r="H25" s="2"/>
      <x:c r="I25" s="2"/>
      <x:c r="J25" s="2"/>
      <x:c r="K25" s="2"/>
      <x:c r="L25" s="2"/>
    </x:row>
    <x:row r="26" ht="33.75" customHeight="1">
      <x:c r="A26" s="10" t="str">
        <x:v>25-28,70</x:v>
      </x:c>
      <x:c r="B26" s="10" t="str">
        <x:v>27-29,48</x:v>
      </x:c>
      <x:c r="C26" s="10" t="str">
        <x:v>组庭选择</x:v>
      </x:c>
      <x:c r="D26" s="10" t="str">
        <x:v>三人默认；各方及首席15天</x:v>
      </x:c>
      <x:c r="E26" s="10" t="str">
        <x:v>名册及独立性核查</x:v>
      </x:c>
      <x:c r="F26" s="2"/>
      <x:c r="G26" s="2"/>
      <x:c r="H26" s="2"/>
      <x:c r="I26" s="2"/>
      <x:c r="J26" s="2"/>
      <x:c r="K26" s="2"/>
      <x:c r="L26" s="2"/>
    </x:row>
    <x:row r="27" ht="33.75" customHeight="1">
      <x:c r="A27" s="10" t="str">
        <x:v>6(4)-(5),10</x:v>
      </x:c>
      <x:c r="B27" s="10" t="str">
        <x:v>15-16,18</x:v>
      </x:c>
      <x:c r="C27" s="10" t="str">
        <x:v>管辖和及时异议</x:v>
      </x:c>
      <x:c r="D27" s="10" t="str">
        <x:v>首次开庭或书面首次实体答辩前</x:v>
      </x:c>
      <x:c r="E27" s="10" t="str">
        <x:v>程序继续进行</x:v>
      </x:c>
      <x:c r="F27" s="2"/>
      <x:c r="G27" s="2"/>
      <x:c r="H27" s="2"/>
      <x:c r="I27" s="2"/>
      <x:c r="J27" s="2"/>
      <x:c r="K27" s="2"/>
      <x:c r="L27" s="2"/>
    </x:row>
    <x:row r="28" ht="33.75" customHeight="1">
      <x:c r="A28" s="10" t="str">
        <x:v>32(1)-(3)</x:v>
      </x:c>
      <x:c r="B28" s="10" t="str">
        <x:v>31</x:v>
      </x:c>
      <x:c r="C28" s="10" t="str">
        <x:v>回避</x:v>
      </x:c>
      <x:c r="D28" s="10" t="str">
        <x:v>披露事项10天；一般已知事由15天</x:v>
      </x:c>
      <x:c r="E28" s="10" t="str">
        <x:v>理由成立仍需判断</x:v>
      </x:c>
      <x:c r="F28" s="2"/>
      <x:c r="G28" s="2"/>
      <x:c r="H28" s="2"/>
      <x:c r="I28" s="2"/>
      <x:c r="J28" s="2"/>
      <x:c r="K28" s="2"/>
      <x:c r="L28" s="2"/>
    </x:row>
    <x:row r="29" ht="33.75" customHeight="1">
      <x:c r="A29" s="10" t="str">
        <x:v>72(1)-(3)</x:v>
      </x:c>
      <x:c r="B29" s="10" t="str">
        <x:v>49</x:v>
      </x:c>
      <x:c r="C29" s="10" t="str">
        <x:v>首次庭期</x:v>
      </x:c>
      <x:c r="D29" s="10" t="str">
        <x:v>提前15天通知；延期请求3天</x:v>
      </x:c>
      <x:c r="E29" s="10" t="str">
        <x:v>再次庭期例外</x:v>
      </x:c>
      <x:c r="F29" s="2"/>
      <x:c r="G29" s="2"/>
      <x:c r="H29" s="2"/>
      <x:c r="I29" s="2"/>
      <x:c r="J29" s="2"/>
      <x:c r="K29" s="2"/>
      <x:c r="L29" s="2"/>
    </x:row>
    <x:row r="30" ht="33.75" customHeight="1">
      <x:c r="A30" s="10" t="str">
        <x:v>59,61,62,66-68</x:v>
      </x:c>
      <x:c r="B30" s="10" t="str">
        <x:v>45-48</x:v>
      </x:c>
      <x:c r="C30" s="10" t="str">
        <x:v>简易及变更</x:v>
      </x:c>
      <x:c r="D30" s="10" t="str">
        <x:v>500万门槛及书面同意条件</x:v>
      </x:c>
      <x:c r="E30" s="10" t="str">
        <x:v>金额提高不自动普通</x:v>
      </x:c>
      <x:c r="F30" s="2"/>
      <x:c r="G30" s="2"/>
      <x:c r="H30" s="2"/>
      <x:c r="I30" s="2"/>
      <x:c r="J30" s="2"/>
      <x:c r="K30" s="2"/>
      <x:c r="L30" s="2"/>
    </x:row>
    <x:row r="31" ht="33.75" customHeight="1">
      <x:c r="A31" s="10" t="str">
        <x:v>74,65</x:v>
      </x:c>
      <x:c r="B31" s="10" t="str">
        <x:v>47,49-50</x:v>
      </x:c>
      <x:c r="C31" s="10" t="str">
        <x:v>裁决期限</x:v>
      </x:c>
      <x:c r="D31" s="10" t="str">
        <x:v>国内普通4月；简易3月</x:v>
      </x:c>
      <x:c r="E31" s="10" t="str">
        <x:v>延期/中止须另更新</x:v>
      </x:c>
      <x:c r="F31" s="2"/>
      <x:c r="G31" s="2"/>
      <x:c r="H31" s="2"/>
      <x:c r="I31" s="2"/>
      <x:c r="J31" s="2"/>
      <x:c r="K31" s="2"/>
      <x:c r="L31" s="2"/>
    </x:row>
    <x:row r="32" ht="33.75" customHeight="1">
      <x:c r="A32" s="10" t="str">
        <x:v>56,57</x:v>
      </x:c>
      <x:c r="B32" s="10" t="str">
        <x:v>44-45</x:v>
      </x:c>
      <x:c r="C32" s="10" t="str">
        <x:v>裁决后</x:v>
      </x:c>
      <x:c r="D32" s="10" t="str">
        <x:v>当事人30天；仲裁庭确有错误或漏裁30天</x:v>
      </x:c>
      <x:c r="E32" s="10" t="str">
        <x:v>不是实体上诉</x:v>
      </x:c>
      <x:c r="F32" s="2"/>
      <x:c r="G32" s="2"/>
      <x:c r="H32" s="2"/>
      <x:c r="I32" s="2"/>
      <x:c r="J32" s="2"/>
      <x:c r="K32" s="2"/>
      <x:c r="L32" s="2"/>
    </x:row>
    <x:row r="33" ht="33.75" customHeight="1">
      <x:c r="A33" s="10" t="str">
        <x:v>16(2)-(3),71</x:v>
      </x:c>
      <x:c r="B33" s="10" t="str">
        <x:v>21-22,48-49</x:v>
      </x:c>
      <x:c r="C33" s="10" t="str">
        <x:v>反请求</x:v>
      </x:c>
      <x:c r="D33" s="10" t="str">
        <x:v>具体请求证据、按期预缴费用</x:v>
      </x:c>
      <x:c r="E33" s="10" t="str">
        <x:v>缴费通知尚未收到</x:v>
      </x:c>
      <x:c r="F33" s="2"/>
      <x:c r="G33" s="2"/>
      <x:c r="H33" s="2"/>
      <x:c r="I33" s="2"/>
      <x:c r="J33" s="2"/>
      <x:c r="K33" s="2"/>
      <x:c r="L33" s="2"/>
    </x:row>
    <x:row r="34" ht="33.75" customHeight="1">
      <x:c r="A34" s="10" t="str">
        <x:v>88</x:v>
      </x:c>
      <x:c r="B34" s="10" t="str">
        <x:v>54</x:v>
      </x:c>
      <x:c r="C34" s="10" t="str">
        <x:v>版本</x:v>
      </x:c>
      <x:c r="D34" s="10" t="str">
        <x:v>2024年1月1日起施行</x:v>
      </x:c>
      <x:c r="E34" s="10" t="str">
        <x:v>2025受理，通知适用2024版</x:v>
      </x:c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  <x:tableParts count="1">
    <x:tablePart xmlns:r="http://schemas.openxmlformats.org/officeDocument/2006/relationships" r:id="Rf56173337fe547f2"/>
  </x:tableParts>
</x:worksheet>
</file>
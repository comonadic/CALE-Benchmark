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6ab77ad5144a84" /></Relationships>
</file>

<file path=xl/workbook.xml><?xml version="1.0" encoding="utf-8"?>
<x:workbook xmlns:x="http://schemas.openxmlformats.org/spreadsheetml/2006/main">
  <x:sheets>
    <x:sheet xmlns:r="http://schemas.openxmlformats.org/officeDocument/2006/relationships" name="卡片覆盖" sheetId="1" r:id="Rbd4d28a1b4404714"/>
    <x:sheet xmlns:r="http://schemas.openxmlformats.org/officeDocument/2006/relationships" name="材料目录" sheetId="2" r:id="R7d43020b786249bb"/>
    <x:sheet xmlns:r="http://schemas.openxmlformats.org/officeDocument/2006/relationships" name="输入缺口" sheetId="3" r:id="Rbb487941f4bc44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
    <x:numFmt numFmtId="203" formatCode="0.00"/>
  </x:numFmts>
  <x:fonts count="5">
    <x:font>
      <x:sz val="11"/>
      <x:name val="Carlito"/>
    </x:font>
    <x:font>
      <x:sz val="10"/>
      <x:color rgb="FF25232D"/>
      <x:name val="Arial"/>
    </x:font>
    <x:font>
      <x:b/>
      <x:sz val="16"/>
      <x:color rgb="FF342B4C"/>
      <x:name val="Arial"/>
    </x:font>
    <x:font>
      <x:b/>
      <x:sz val="10"/>
      <x:color rgb="FFFFFFFF"/>
      <x:name val="Arial"/>
    </x:font>
    <x:font>
      <x:sz val="10"/>
      <x:color rgb="FF6751A3"/>
      <x:name val="Arial"/>
    </x:font>
  </x:fonts>
  <x:fills count="5">
    <x:fill>
      <x:patternFill patternType="none"/>
    </x:fill>
    <x:fill>
      <x:patternFill patternType="gray125"/>
    </x:fill>
    <x:fill>
      <x:patternFill patternType="solid">
        <x:fgColor rgb="FF342B4C"/>
      </x:patternFill>
    </x:fill>
    <x:fill>
      <x:patternFill patternType="solid">
        <x:fgColor rgb="FFFFFFFF"/>
      </x:patternFill>
    </x:fill>
    <x:fill>
      <x:patternFill patternType="solid">
        <x:fgColor rgb="FFF6F4F8"/>
      </x:patternFill>
    </x:fill>
  </x:fills>
  <x:borders count="5">
    <x:border/>
    <x:border>
      <x:bottom style="thin">
        <x:color rgb="FFD8D2E2"/>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3" fillId="2" borderId="4" xfId="0" applyNumberFormat="1" applyFont="1" applyFill="1" applyBorder="1" applyAlignment="1">
      <x:alignment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3" fontId="1" fillId="4"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dxfs count="3">
    <x:dxf>
      <x:font>
        <x:color rgb="FF835A14"/>
      </x:font>
      <x:fill>
        <x:patternFill patternType="solid">
          <x:bgColor rgb="FFFFF0D2"/>
        </x:patternFill>
      </x:fill>
    </x:dxf>
    <x:dxf>
      <x:font>
        <x:color rgb="FF835A14"/>
      </x:font>
      <x:fill>
        <x:patternFill patternType="solid">
          <x:bgColor rgb="FFFFF0D2"/>
        </x:patternFill>
      </x:fill>
    </x:dxf>
    <x:dxf>
      <x:font>
        <x:b/>
        <x:color rgb="FF835A14"/>
      </x:font>
      <x:fill>
        <x:patternFill patternType="solid">
          <x:bgColor rgb="FFFFF0D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514b457a654814" /><Relationship Type="http://schemas.openxmlformats.org/officeDocument/2006/relationships/theme" Target="/xl/theme/theme1.xml" Id="R9a5501c3cc214e27" /><Relationship Type="http://schemas.openxmlformats.org/officeDocument/2006/relationships/sharedStrings" Target="/xl/sharedStrings.xml" Id="R865e95efc94a4d0c" /><Relationship Type="http://schemas.openxmlformats.org/officeDocument/2006/relationships/worksheet" Target="/xl/worksheets/sheet1.xml" Id="Rbd4d28a1b4404714" /><Relationship Type="http://schemas.openxmlformats.org/officeDocument/2006/relationships/worksheet" Target="/xl/worksheets/sheet2.xml" Id="R7d43020b786249bb" /><Relationship Type="http://schemas.openxmlformats.org/officeDocument/2006/relationships/worksheet" Target="/xl/worksheets/sheet3.xml" Id="Rbb487941f4bc444a" /></Relationships>
</file>

<file path=xl/tables/table1.xml><?xml version="1.0" encoding="utf-8"?>
<x:table xmlns:x="http://schemas.openxmlformats.org/spreadsheetml/2006/main" id="1" name="CardCoverage" displayName="CardCoverage" ref="A6:G17" headerRowCount="1" totalsRowCount="0" totalsRowShown="0">
  <x:autoFilter ref="A6:G17"/>
  <x:tableColumns count="7">
    <x:tableColumn id="1" name="卡片"/>
    <x:tableColumn id="2" name="工作类型"/>
    <x:tableColumn id="3" name="原件份数"/>
    <x:tableColumn id="4" name="材料组"/>
    <x:tableColumn id="5" name="输入状态"/>
    <x:tableColumn id="6" name="关键缺口"/>
    <x:tableColumn id="7" name="卡片状态"/>
  </x:tableColumns>
  <x:tableStyleInfo name="TableStyleLight1" showFirstColumn="0" showLastColumn="0" showRowStripes="1" showColumnStripes="0"/>
</x:table>
</file>

<file path=xl/tables/table2.xml><?xml version="1.0" encoding="utf-8"?>
<x:table xmlns:x="http://schemas.openxmlformats.org/spreadsheetml/2006/main" id="2" name="MaterialCatalogue" displayName="MaterialCatalogue" ref="A6:N47" headerRowCount="1" totalsRowCount="0" totalsRowShown="0">
  <x:autoFilter ref="A6:N47"/>
  <x:tableColumns count="14">
    <x:tableColumn id="1" name="材料编号"/>
    <x:tableColumn id="2" name="标题"/>
    <x:tableColumn id="3" name="发布日期"/>
    <x:tableColumn id="4" name="格式"/>
    <x:tableColumn id="5" name="材料组"/>
    <x:tableColumn id="6" name="对应卡片"/>
    <x:tableColumn id="7" name="材料角色"/>
    <x:tableColumn id="8" name="取得状态"/>
    <x:tableColumn id="9" name="质量记录"/>
    <x:tableColumn id="10" name="入库PDF页数"/>
    <x:tableColumn id="11" name="大小 MB"/>
    <x:tableColumn id="12" name="来源"/>
    <x:tableColumn id="13" name="仓库文件"/>
    <x:tableColumn id="14" name="待处理事项"/>
  </x:tableColumns>
  <x:tableStyleInfo name="TableStyleLight1" showFirstColumn="0" showLastColumn="0" showRowStripes="1" showColumnStripes="0"/>
</x:table>
</file>

<file path=xl/tables/table3.xml><?xml version="1.0" encoding="utf-8"?>
<x:table xmlns:x="http://schemas.openxmlformats.org/spreadsheetml/2006/main" id="3" name="InputGaps" displayName="InputGaps" ref="A6:G42" headerRowCount="1" totalsRowCount="0" totalsRowShown="0">
  <x:autoFilter ref="A6:G42"/>
  <x:tableColumns count="7">
    <x:tableColumn id="1" name="卡片"/>
    <x:tableColumn id="2" name="输入项"/>
    <x:tableColumn id="3" name="所需输入"/>
    <x:tableColumn id="4" name="覆盖情况"/>
    <x:tableColumn id="5" name="已取得内容"/>
    <x:tableColumn id="6" name="仍需补充"/>
    <x:tableColumn id="7" name="材料编号"/>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d8ab0d86c7341cf" /></Relationships>
</file>

<file path=xl/worksheets/_rels/sheet2.xml.rels><?xml version='1.0' encoding='utf-8'?>
<ns0:Relationships xmlns:ns0="http://schemas.openxmlformats.org/package/2006/relationships"><ns0:Relationship Type="http://schemas.openxmlformats.org/officeDocument/2006/relationships/table" Target="/xl/tables/table2.xml" Id="Rff9763263c194dc4" /><ns0:Relationship Id="rIdNativeLink1" Type="http://schemas.openxmlformats.org/officeDocument/2006/relationships/hyperlink" Target="https://static.cninfo.com.cn/finalpage/2025-07-29/1224318011.PDF" TargetMode="External" /><ns0:Relationship Id="rIdNativeLink2" Type="http://schemas.openxmlformats.org/officeDocument/2006/relationships/hyperlink" Target="../../reference-library/raw/S01/CN-1224318011/original.pdf" TargetMode="External" /><ns0:Relationship Id="rIdNativeLink3" Type="http://schemas.openxmlformats.org/officeDocument/2006/relationships/hyperlink" Target="https://static.cninfo.com.cn/finalpage/2025-07-29/1224318016.PDF" TargetMode="External" /><ns0:Relationship Id="rIdNativeLink4" Type="http://schemas.openxmlformats.org/officeDocument/2006/relationships/hyperlink" Target="../../reference-library/raw/S01/CN-1224318016/original.pdf" TargetMode="External" /><ns0:Relationship Id="rIdNativeLink5" Type="http://schemas.openxmlformats.org/officeDocument/2006/relationships/hyperlink" Target="https://static.cninfo.com.cn/finalpage/2025-08-15/1224486549.PDF" TargetMode="External" /><ns0:Relationship Id="rIdNativeLink6" Type="http://schemas.openxmlformats.org/officeDocument/2006/relationships/hyperlink" Target="../../reference-library/raw/S01/CN-1224486549/original.pdf" TargetMode="External" /><ns0:Relationship Id="rIdNativeLink7" Type="http://schemas.openxmlformats.org/officeDocument/2006/relationships/hyperlink" Target="https://static.cninfo.com.cn/finalpage/2026-03-28/1225045474.PDF" TargetMode="External" /><ns0:Relationship Id="rIdNativeLink8" Type="http://schemas.openxmlformats.org/officeDocument/2006/relationships/hyperlink" Target="../../reference-library/raw/S01/CN-1225045474/original.pdf" TargetMode="External" /><ns0:Relationship Id="rIdNativeLink9" Type="http://schemas.openxmlformats.org/officeDocument/2006/relationships/hyperlink" Target="https://static.cninfo.com.cn/finalpage/2026-04-28/1225203635.PDF" TargetMode="External" /><ns0:Relationship Id="rIdNativeLink10" Type="http://schemas.openxmlformats.org/officeDocument/2006/relationships/hyperlink" Target="../../reference-library/raw/S01/CN-1225203635/original.pdf" TargetMode="External" /><ns0:Relationship Id="rIdNativeLink11" Type="http://schemas.openxmlformats.org/officeDocument/2006/relationships/hyperlink" Target="https://static.cninfo.com.cn/finalpage/2026-04-29/1225248741.PDF" TargetMode="External" /><ns0:Relationship Id="rIdNativeLink12" Type="http://schemas.openxmlformats.org/officeDocument/2006/relationships/hyperlink" Target="../../reference-library/raw/S01/CN-1225248741/original.pdf" TargetMode="External" /><ns0:Relationship Id="rIdNativeLink13" Type="http://schemas.openxmlformats.org/officeDocument/2006/relationships/hyperlink" Target="https://static.cninfo.com.cn/finalpage/2026-05-23/1225327554.PDF" TargetMode="External" /><ns0:Relationship Id="rIdNativeLink14" Type="http://schemas.openxmlformats.org/officeDocument/2006/relationships/hyperlink" Target="../../reference-library/raw/S01/CN-1225327554/original.pdf" TargetMode="External" /><ns0:Relationship Id="rIdNativeLink15" Type="http://schemas.openxmlformats.org/officeDocument/2006/relationships/hyperlink" Target="https://static.cninfo.com.cn/finalpage/2026-05-23/1225327559.PDF" TargetMode="External" /><ns0:Relationship Id="rIdNativeLink16" Type="http://schemas.openxmlformats.org/officeDocument/2006/relationships/hyperlink" Target="../../reference-library/raw/S01/CN-1225327559/original.pdf" TargetMode="External" /><ns0:Relationship Id="rIdNativeLink17" Type="http://schemas.openxmlformats.org/officeDocument/2006/relationships/hyperlink" Target="https://static.cninfo.com.cn/finalpage/2026-05-23/1225327560.PDF" TargetMode="External" /><ns0:Relationship Id="rIdNativeLink18" Type="http://schemas.openxmlformats.org/officeDocument/2006/relationships/hyperlink" Target="../../reference-library/raw/S01/CN-1225327560/original.pdf" TargetMode="External" /><ns0:Relationship Id="rIdNativeLink19" Type="http://schemas.openxmlformats.org/officeDocument/2006/relationships/hyperlink" Target="https://static.cninfo.com.cn/finalpage/2026-06-30/1225398819.PDF" TargetMode="External" /><ns0:Relationship Id="rIdNativeLink20" Type="http://schemas.openxmlformats.org/officeDocument/2006/relationships/hyperlink" Target="../../reference-library/raw/S01/CN-1225398819/original.pdf" TargetMode="External" /><ns0:Relationship Id="rIdNativeLink21" Type="http://schemas.openxmlformats.org/officeDocument/2006/relationships/hyperlink" Target="https://static.cninfo.com.cn/finalpage/2026-07-31/1225449371.PDF" TargetMode="External" /><ns0:Relationship Id="rIdNativeLink22" Type="http://schemas.openxmlformats.org/officeDocument/2006/relationships/hyperlink" Target="../../reference-library/raw/S01/CN-1225449371/original.pdf" TargetMode="External" /><ns0:Relationship Id="rIdNativeLink23" Type="http://schemas.openxmlformats.org/officeDocument/2006/relationships/hyperlink" Target="https://static.cninfo.com.cn/finalpage/2026-07-31/1225449376.PDF" TargetMode="External" /><ns0:Relationship Id="rIdNativeLink24" Type="http://schemas.openxmlformats.org/officeDocument/2006/relationships/hyperlink" Target="../../reference-library/raw/S01/CN-1225449376/original.pdf" TargetMode="External" /><ns0:Relationship Id="rIdNativeLink25" Type="http://schemas.openxmlformats.org/officeDocument/2006/relationships/hyperlink" Target="https://static.cninfo.com.cn/finalpage/2026-07-31/1225449382.PDF" TargetMode="External" /><ns0:Relationship Id="rIdNativeLink26" Type="http://schemas.openxmlformats.org/officeDocument/2006/relationships/hyperlink" Target="../../reference-library/raw/S01/CN-1225449382/original.pdf" TargetMode="External" /><ns0:Relationship Id="rIdNativeLink27" Type="http://schemas.openxmlformats.org/officeDocument/2006/relationships/hyperlink" Target="https://static.cninfo.com.cn/finalpage/2026-07-31/1225449388.PDF" TargetMode="External" /><ns0:Relationship Id="rIdNativeLink28" Type="http://schemas.openxmlformats.org/officeDocument/2006/relationships/hyperlink" Target="../../reference-library/raw/S01/CN-1225449388/original.pdf" TargetMode="External" /><ns0:Relationship Id="rIdNativeLink29" Type="http://schemas.openxmlformats.org/officeDocument/2006/relationships/hyperlink" Target="https://static.cninfo.com.cn/finalpage/2026-07-31/1225449390.PDF" TargetMode="External" /><ns0:Relationship Id="rIdNativeLink30" Type="http://schemas.openxmlformats.org/officeDocument/2006/relationships/hyperlink" Target="../../reference-library/raw/S01/CN-1225449390/original.pdf" TargetMode="External" /><ns0:Relationship Id="rIdNativeLink31" Type="http://schemas.openxmlformats.org/officeDocument/2006/relationships/hyperlink" Target="https://static.cninfo.com.cn/finalpage/2026-08-01/1225451854.PDF" TargetMode="External" /><ns0:Relationship Id="rIdNativeLink32" Type="http://schemas.openxmlformats.org/officeDocument/2006/relationships/hyperlink" Target="../../reference-library/raw/S01/CN-1225451854/original.pdf" TargetMode="External" /><ns0:Relationship Id="rIdNativeLink33" Type="http://schemas.openxmlformats.org/officeDocument/2006/relationships/hyperlink" Target="https://static.cninfo.com.cn/finalpage/2026-08-01/1225451855.PDF" TargetMode="External" /><ns0:Relationship Id="rIdNativeLink34" Type="http://schemas.openxmlformats.org/officeDocument/2006/relationships/hyperlink" Target="../../reference-library/raw/S01/CN-1225451855/original.pdf" TargetMode="External" /><ns0:Relationship Id="rIdNativeLink35" Type="http://schemas.openxmlformats.org/officeDocument/2006/relationships/hyperlink" Target="https://static.cninfo.com.cn/finalpage/2026-08-06/1225460240.PDF" TargetMode="External" /><ns0:Relationship Id="rIdNativeLink36" Type="http://schemas.openxmlformats.org/officeDocument/2006/relationships/hyperlink" Target="../../reference-library/raw/S01/CN-1225460240/original.pdf" TargetMode="External" /><ns0:Relationship Id="rIdNativeLink37" Type="http://schemas.openxmlformats.org/officeDocument/2006/relationships/hyperlink" Target="https://static.cninfo.com.cn/finalpage/2026-08-06/1225460243.PDF" TargetMode="External" /><ns0:Relationship Id="rIdNativeLink38" Type="http://schemas.openxmlformats.org/officeDocument/2006/relationships/hyperlink" Target="../../reference-library/raw/S01/CN-1225460243/business-pages.pdf" TargetMode="External" /><ns0:Relationship Id="rIdNativeLink39" Type="http://schemas.openxmlformats.org/officeDocument/2006/relationships/hyperlink" Target="https://static.cninfo.com.cn/finalpage/2026-08-06/1225460245.PDF" TargetMode="External" /><ns0:Relationship Id="rIdNativeLink40" Type="http://schemas.openxmlformats.org/officeDocument/2006/relationships/hyperlink" Target="../../reference-library/raw/S01/CN-1225460245/original.pdf" TargetMode="External" /><ns0:Relationship Id="rIdNativeLink41" Type="http://schemas.openxmlformats.org/officeDocument/2006/relationships/hyperlink" Target="https://static.cninfo.com.cn/finalpage/2026-08-22/1225489930.PDF" TargetMode="External" /><ns0:Relationship Id="rIdNativeLink42" Type="http://schemas.openxmlformats.org/officeDocument/2006/relationships/hyperlink" Target="../../reference-library/raw/S01/CN-1225489930/original.pdf" TargetMode="External" /><ns0:Relationship Id="rIdNativeLink43" Type="http://schemas.openxmlformats.org/officeDocument/2006/relationships/hyperlink" Target="https://static.cninfo.com.cn/finalpage/2026-08-22/1225491061.PDF" TargetMode="External" /><ns0:Relationship Id="rIdNativeLink44" Type="http://schemas.openxmlformats.org/officeDocument/2006/relationships/hyperlink" Target="../../reference-library/raw/S01/CN-1225491061/original.pdf" TargetMode="External" /><ns0:Relationship Id="rIdNativeLink45" Type="http://schemas.openxmlformats.org/officeDocument/2006/relationships/hyperlink" Target="https://static.cninfo.com.cn/finalpage/2026-08-25/1225495975.PDF" TargetMode="External" /><ns0:Relationship Id="rIdNativeLink46" Type="http://schemas.openxmlformats.org/officeDocument/2006/relationships/hyperlink" Target="../../reference-library/raw/S01/CN-1225495975/original.pdf" TargetMode="External" /><ns0:Relationship Id="rIdNativeLink47" Type="http://schemas.openxmlformats.org/officeDocument/2006/relationships/hyperlink" Target="https://static.cninfo.com.cn/finalpage/2026-09-03/1225545737.PDF" TargetMode="External" /><ns0:Relationship Id="rIdNativeLink48" Type="http://schemas.openxmlformats.org/officeDocument/2006/relationships/hyperlink" Target="../../reference-library/raw/S01/CN-1225545737/original.pdf" TargetMode="External" /><ns0:Relationship Id="rIdNativeLink49" Type="http://schemas.openxmlformats.org/officeDocument/2006/relationships/hyperlink" Target="https://pccz.court.gov.cn/filedownloads/pcglr/202610/b791e8acafed49459a07158a3b1fd960/9a1a221faa0c4d1bae29b28a3845b4d4/471a7121f718d5dd43c46094b31d7c6f?fn=03-&#20538;&#26435;&#30003;&#25253;&#20070;.docx" TargetMode="External" /><ns0:Relationship Id="rIdNativeLink50" Type="http://schemas.openxmlformats.org/officeDocument/2006/relationships/hyperlink" Target="../../reference-library/raw/S33/COURT-ZHENXIN-CLAIM/original.docx" TargetMode="External" /><ns0:Relationship Id="rIdNativeLink51" Type="http://schemas.openxmlformats.org/officeDocument/2006/relationships/hyperlink" Target="https://pccz.court.gov.cn/filedownloads/pcglr/202610/b791e8acafed49459a07158a3b1fd960/9a1a221faa0c4d1bae29b28a3845b4d4/0c086b4d8db38b2ad97cdfbb7579f593?fn=00&#20538;&#26435;&#30003;&#25253;&#25351;&#24341;.pdf" TargetMode="External" /><ns0:Relationship Id="rIdNativeLink52" Type="http://schemas.openxmlformats.org/officeDocument/2006/relationships/hyperlink" Target="../../reference-library/raw/S33/COURT-ZHENXIN-GUIDE/original.pdf" TargetMode="External" /><ns0:Relationship Id="rIdNativeLink53" Type="http://schemas.openxmlformats.org/officeDocument/2006/relationships/hyperlink" Target="https://pccz.court.gov.cn/filedownloads/pcglr/202610/b791e8acafed49459a07158a3b1fd960/9a1a221faa0c4d1bae29b28a3845b4d4/ea19bf98f126c67adb1f837ef3ef93f4?fn=01-&#20538;&#26435;&#30003;&#25253;&#26448;&#26009;&#28165;&#21333;.docx" TargetMode="External" /><ns0:Relationship Id="rIdNativeLink54" Type="http://schemas.openxmlformats.org/officeDocument/2006/relationships/hyperlink" Target="../../reference-library/raw/S33/COURT-ZHENXIN-LIST/original.docx" TargetMode="External" /><ns0:Relationship Id="rIdNativeLink55" Type="http://schemas.openxmlformats.org/officeDocument/2006/relationships/hyperlink" Target="https://pccz.court.gov.cn/filedownloads/pcglr/202610/b791e8acafed49459a07158a3b1fd960/9a1a221faa0c4d1bae29b28a3845b4d4/75ea021393b3d79ee2dfa98b846383c8?fn=02-&#20538;&#26435;&#30003;&#25253;&#30331;&#35760;&#34920;.docx" TargetMode="External" /><ns0:Relationship Id="rIdNativeLink56" Type="http://schemas.openxmlformats.org/officeDocument/2006/relationships/hyperlink" Target="../../reference-library/raw/S33/COURT-ZHENXIN-REGISTER/original.docx" TargetMode="External" /><ns0:Relationship Id="rIdNativeLink57" Type="http://schemas.openxmlformats.org/officeDocument/2006/relationships/hyperlink" Target="https://www.csrc.gov.cn/xinjiang/c104362/c7638121/content.shtml" TargetMode="External" /><ns0:Relationship Id="rIdNativeLink58" Type="http://schemas.openxmlformats.org/officeDocument/2006/relationships/hyperlink" Target="../../reference-library/raw/S39/CSRC-XJ-DEBT-NOTICE-20260609/original.html" TargetMode="External" /><ns0:Relationship Id="rIdNativeLink59" Type="http://schemas.openxmlformats.org/officeDocument/2006/relationships/hyperlink" Target="https://www.csrc.gov.cn/xinjiang/c104362/c7638121/7638121/files/&#38468;&#20214;5&#65306;&#20844;&#21496;&#65288;&#20225;&#19994;&#65289;&#20538;&#21048;&#20607;&#20538;&#36164;&#37329;&#33853;&#23454;&#24773;&#20917;&#25490;&#26597;&#34920;.xlsx" TargetMode="External" /><ns0:Relationship Id="rIdNativeLink60" Type="http://schemas.openxmlformats.org/officeDocument/2006/relationships/hyperlink" Target="../../reference-library/raw/S39/CSRC-XJ-FUNDING-FORM-20260609/original.xlsx" TargetMode="External" /><ns0:Relationship Id="rIdNativeLink61" Type="http://schemas.openxmlformats.org/officeDocument/2006/relationships/hyperlink" Target="https://gdgpo.czt.gd.gov.cn/gpx-bid-file/ZF_JGBM_000009/zone/2026/4/15/8a7e9d799d7517d7019d8e9df7cf4819/gpx-tender/8a7e00c79c33c7e6019dd857668b6d61.docx?accessCode=d1a83dc2ca38ad145bf1adf4db5f823c" TargetMode="External" /><ns0:Relationship Id="rIdNativeLink62" Type="http://schemas.openxmlformats.org/officeDocument/2006/relationships/hyperlink" Target="../../reference-library/raw/S44/GZ-CZ20260463-CONTRACT/original.docx" TargetMode="External" /><ns0:Relationship Id="rIdNativeLink63" Type="http://schemas.openxmlformats.org/officeDocument/2006/relationships/hyperlink" Target="https://gdgpo.czt.gd.gov.cn/gpx-bid-file/ZF_JGBM_000009/zone/2026/4/15/8a7e9d799d7517d7019d8e9df7cf4819/gpx-tender/8a7efde19c33c770019dd8575ce37a44.docx?accessCode=f98c9dd951d737711b8b7e0362f7f9fa" TargetMode="External" /><ns0:Relationship Id="rIdNativeLink64" Type="http://schemas.openxmlformats.org/officeDocument/2006/relationships/hyperlink" Target="../../reference-library/raw/S44/GZ-CZ20260463-REQUIREMENTS/original.docx" TargetMode="External" /><ns0:Relationship Id="rIdNativeLink65" Type="http://schemas.openxmlformats.org/officeDocument/2006/relationships/hyperlink" Target="https://gdgpo.czt.gd.gov.cn/gpx-bid-file/440101/gpx-tender/2026/4/29/8a7e8bdf9c42e616019dd8c9516549d1.zip?accessCode=6aa48b6ac136cc1c2016d52d13e8cd81" TargetMode="External" /><ns0:Relationship Id="rIdNativeLink66" Type="http://schemas.openxmlformats.org/officeDocument/2006/relationships/hyperlink" Target="../../reference-library/raw/S44/GZ-CZ20260463-TENDER/original.zip" TargetMode="External" /><ns0:Relationship Id="rIdNativeLink67" Type="http://schemas.openxmlformats.org/officeDocument/2006/relationships/hyperlink" Target="https://iccwbo.org/wp-content/uploads/sites/3/2026/06/ICC_2026_Arbitration_Rules_2014_Mediation_Rules_EN.pdf" TargetMode="External" /><ns0:Relationship Id="rIdNativeLink68" Type="http://schemas.openxmlformats.org/officeDocument/2006/relationships/hyperlink" Target="https://iccwbo.org/wp-content/uploads/sites/3/2026/06/ICC_2026_Arbitration_Rules_2014_Mediation_Rules_ZH.pdf" TargetMode="External" /><ns0:Relationship Id="rIdNativeLink69" Type="http://schemas.openxmlformats.org/officeDocument/2006/relationships/hyperlink" Target="https://static.sse.com.cn/stock/disclosure/announcement/c/202510/002073_20251030_51U2.pdf" TargetMode="External" /><ns0:Relationship Id="rIdNativeLink70" Type="http://schemas.openxmlformats.org/officeDocument/2006/relationships/hyperlink" Target="../../reference-library/raw/S02/SSE-ZHIXIN-AUDIT-20251030/original.pdf" TargetMode="External" /><ns0:Relationship Id="rIdNativeLink71" Type="http://schemas.openxmlformats.org/officeDocument/2006/relationships/hyperlink" Target="https://static.sse.com.cn/stock/disclosure/announcement/c/202510/002073_20251030_3MM6.pdf" TargetMode="External" /><ns0:Relationship Id="rIdNativeLink72" Type="http://schemas.openxmlformats.org/officeDocument/2006/relationships/hyperlink" Target="../../reference-library/raw/S02/SSE-ZHIXIN-LEGAL-20251030/original.pdf" TargetMode="External" /><ns0:Relationship Id="rIdNativeLink73" Type="http://schemas.openxmlformats.org/officeDocument/2006/relationships/hyperlink" Target="https://static.sse.com.cn/stock/disclosure/announcement/c/202510/002073_20251030_N20S.pdf" TargetMode="External" /><ns0:Relationship Id="rIdNativeLink74" Type="http://schemas.openxmlformats.org/officeDocument/2006/relationships/hyperlink" Target="../../reference-library/raw/S02/SSE-ZHIXIN-PROSPECTUS-20251030/original.pdf" TargetMode="External" /><ns0:Relationship Id="rIdNativeLink75" Type="http://schemas.openxmlformats.org/officeDocument/2006/relationships/hyperlink" Target="https://static.sse.com.cn/stock/disclosure/announcement/c/202511/002073_20251114_25R9.pdf" TargetMode="External" /><ns0:Relationship Id="rIdNativeLink76" Type="http://schemas.openxmlformats.org/officeDocument/2006/relationships/hyperlink" Target="../../reference-library/raw/S02/SSE-ZHIXIN-PROSPECTUS-20251114/original.pdf" TargetMode="External" /><ns0:Relationship Id="rIdNativeLink77" Type="http://schemas.openxmlformats.org/officeDocument/2006/relationships/hyperlink" Target="https://static.sse.com.cn/stock/disclosure/announcement/c/202509/002073_20250901_3KCM.pdf" TargetMode="External" /><ns0:Relationship Id="rIdNativeLink78" Type="http://schemas.openxmlformats.org/officeDocument/2006/relationships/hyperlink" Target="../../reference-library/raw/S02/SSE-ZHIXIN-REPLY1-20250901/original.pdf" TargetMode="External" /><ns0:Relationship Id="rIdNativeLink79" Type="http://schemas.openxmlformats.org/officeDocument/2006/relationships/hyperlink" Target="https://static.sse.com.cn/stock/disclosure/announcement/c/202510/002073_20251010_1NW4.pdf" TargetMode="External" /><ns0:Relationship Id="rIdNativeLink80" Type="http://schemas.openxmlformats.org/officeDocument/2006/relationships/hyperlink" Target="../../reference-library/raw/S02/SSE-ZHIXIN-REPLY2-20251010/original.pdf"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2bd71ecbdfbe4b18" /></Relationships>
</file>

<file path=xl/worksheets/sheet1.xml><?xml version="1.0" encoding="utf-8"?>
<x:worksheet xmlns:x="http://schemas.openxmlformats.org/spreadsheetml/2006/main">
  <x:sheetPr>
    <x:tabColor rgb="FF342B4C"/>
  </x:sheetPr>
  <x:sheetViews>
    <x:sheetView showGridLines="0" workbookViewId="0">
      <x:pane xSplit="2" ySplit="6" topLeftCell="C7" activePane="bottomRight" state="frozen"/>
    </x:sheetView>
  </x:sheetViews>
  <x:sheetFormatPr defaultRowHeight="15"/>
  <x:cols>
    <x:col min="1" max="1" width="16.670000076293945" hidden="0" customWidth="1"/>
    <x:col min="2" max="2" width="35" hidden="0" customWidth="1"/>
    <x:col min="3" max="3" width="9.4399995803833" hidden="0" customWidth="1"/>
    <x:col min="4" max="4" width="32.220001220703125" hidden="0" customWidth="1"/>
    <x:col min="5" max="5" width="17.219999313354492" hidden="0" customWidth="1"/>
    <x:col min="6" max="6" width="46.66999816894531" hidden="0" customWidth="1"/>
    <x:col min="7" max="7" width="11.109999656677246" hidden="0" customWidth="1"/>
  </x:cols>
  <x:sheetData>
    <x:row r="1" ht="10.5" customHeight="1">
      <x:c r="A1" s="2"/>
      <x:c r="B1" s="2"/>
      <x:c r="C1" s="2"/>
      <x:c r="D1" s="2"/>
      <x:c r="E1" s="2"/>
      <x:c r="F1" s="2"/>
      <x:c r="G1" s="2"/>
    </x:row>
    <x:row r="2" ht="25.5" customHeight="1">
      <x:c r="A2" s="4" t="str">
        <x:v>任务卡材料覆盖</x:v>
      </x:c>
      <x:c r="B2" s="5"/>
      <x:c r="C2" s="5"/>
      <x:c r="D2" s="5"/>
      <x:c r="E2" s="5"/>
      <x:c r="F2" s="5"/>
      <x:c r="G2" s="5"/>
    </x:row>
    <x:row r="3" ht="17.25" customHeight="1">
      <x:c r="A3" s="2" t="str">
        <x:v>截至 2026-10-13；按最新审阅卡片逐项匹配。</x:v>
      </x:c>
      <x:c r="B3" s="2"/>
      <x:c r="C3" s="2"/>
      <x:c r="D3" s="2" t="str">
        <x:v>原件入库与完整任务输入分别核对；所有卡片仍需补齐业务底稿。</x:v>
      </x:c>
      <x:c r="E3" s="2"/>
      <x:c r="F3" s="2"/>
      <x:c r="G3" s="2"/>
    </x:row>
    <x:row r="4" ht="17.25" customHeight="1">
      <x:c r="A4" s="2" t="str">
        <x:v>39 份原件均发布于 2025 年下半年或 2026 年。</x:v>
      </x:c>
      <x:c r="B4" s="2"/>
      <x:c r="C4" s="2"/>
      <x:c r="D4" s="2"/>
      <x:c r="E4" s="2"/>
      <x:c r="F4" s="2"/>
      <x:c r="G4" s="2"/>
    </x:row>
    <x:row r="5" ht="17.25" customHeight="1">
      <x:c r="A5" s="2"/>
      <x:c r="B5" s="2"/>
      <x:c r="C5" s="2"/>
      <x:c r="D5" s="2"/>
      <x:c r="E5" s="2"/>
      <x:c r="F5" s="2"/>
      <x:c r="G5" s="2"/>
    </x:row>
    <x:row r="6" ht="24" customHeight="1">
      <x:c r="A6" s="14" t="str">
        <x:v>卡片</x:v>
      </x:c>
      <x:c r="B6" s="15" t="str">
        <x:v>工作类型</x:v>
      </x:c>
      <x:c r="C6" s="15" t="str">
        <x:v>原件份数</x:v>
      </x:c>
      <x:c r="D6" s="15" t="str">
        <x:v>材料组</x:v>
      </x:c>
      <x:c r="E6" s="15" t="str">
        <x:v>输入状态</x:v>
      </x:c>
      <x:c r="F6" s="15" t="str">
        <x:v>关键缺口</x:v>
      </x:c>
      <x:c r="G6" s="16" t="str">
        <x:v>卡片状态</x:v>
      </x:c>
    </x:row>
    <x:row r="7" ht="50.25" customHeight="1">
      <x:c r="A7" s="19" t="str">
        <x:v>FIN-F01-001</x:v>
      </x:c>
      <x:c r="B7" s="19" t="str">
        <x:v>根据最新财报更新三表联动预测模型</x:v>
      </x:c>
      <x:c r="C7" s="21" t="n">
        <x:v>6</x:v>
      </x:c>
      <x:c r="D7" s="19" t="str">
        <x:v>海大集团财报与两轮套保授权
茂化实华2026会计差错更正链</x:v>
      </x:c>
      <x:c r="E7" s="19" t="str">
        <x:v>公共部分 0 项
部分或线索 2 项
待取得 1 项</x:v>
      </x:c>
      <x:c r="F7" s="19" t="str">
        <x:v>尚缺既有多期模型；历史比较列不能等同多期完整原件
需授权既有三表模型、批准假设与更新前版本</x:v>
      </x:c>
      <x:c r="G7" s="19" t="str">
        <x:v>verified</x:v>
      </x:c>
    </x:row>
    <x:row r="8" ht="50.25" customHeight="1">
      <x:c r="A8" s="20" t="str">
        <x:v>FIN-F02-001</x:v>
      </x:c>
      <x:c r="B8" s="20" t="str">
        <x:v>IPO审核材料跨文件一致性核查与问询回复底稿</x:v>
      </x:c>
      <x:c r="C8" s="22" t="n">
        <x:v>6</x:v>
      </x:c>
      <x:c r="D8" s="20" t="str">
        <x:v>至信股份2025下半年IPO披露链</x:v>
      </x:c>
      <x:c r="E8" s="20" t="str">
        <x:v>公共部分 3 项
部分或线索 1 项
待取得 0 项</x:v>
      </x:c>
      <x:c r="F8" s="20" t="str">
        <x:v>缺独立问询函；现轮回复及后续版本需隔离后方可用于事前起草</x:v>
      </x:c>
      <x:c r="G8" s="20" t="str">
        <x:v>verified</x:v>
      </x:c>
    </x:row>
    <x:row r="9" ht="50.25" customHeight="1">
      <x:c r="A9" s="19" t="str">
        <x:v>FIN-F03-002</x:v>
      </x:c>
      <x:c r="B9" s="19" t="str">
        <x:v>流动资金贷款需求测算与授信调查报告复核</x:v>
      </x:c>
      <x:c r="C9" s="21" t="n">
        <x:v>2</x:v>
      </x:c>
      <x:c r="D9" s="19" t="str">
        <x:v>海大集团财报与两轮套保授权</x:v>
      </x:c>
      <x:c r="E9" s="19" t="str">
        <x:v>公共部分 0 项
部分或线索 2 项
待取得 2 项</x:v>
      </x:c>
      <x:c r="F9" s="19" t="str">
        <x:v>缺申请、贷款用途和真实经营说明
缺应收/应付/存货明细、经营预算及周转计算口径</x:v>
      </x:c>
      <x:c r="G9" s="19" t="str">
        <x:v>verified</x:v>
      </x:c>
    </x:row>
    <x:row r="10" ht="50.25" customHeight="1">
      <x:c r="A10" s="20" t="str">
        <x:v>FIN-F04-001</x:v>
      </x:c>
      <x:c r="B10" s="20" t="str">
        <x:v>公司债到期及回售资金落实排查</x:v>
      </x:c>
      <x:c r="C10" s="22" t="n">
        <x:v>5</x:v>
      </x:c>
      <x:c r="D10" s="20" t="str">
        <x:v>申万宏源集团23申宏04到期排查</x:v>
      </x:c>
      <x:c r="E10" s="20" t="str">
        <x:v>公共部分 1 项
部分或线索 2 项
待取得 0 项</x:v>
      </x:c>
      <x:c r="F10" s="20" t="str">
        <x:v>缺募集说明书及受托协议全文；不混入申万宏源证券子公司债
公告是安排，不能证明已足额到账；缺银行回单及发行人反馈</x:v>
      </x:c>
      <x:c r="G10" s="20" t="str">
        <x:v>verified</x:v>
      </x:c>
    </x:row>
    <x:row r="11" ht="50.25" customHeight="1">
      <x:c r="A11" s="19" t="str">
        <x:v>FIN-F13-002</x:v>
      </x:c>
      <x:c r="B11" s="19" t="str">
        <x:v>企业期现敞口台账更新与套保效果复核</x:v>
      </x:c>
      <x:c r="C11" s="21" t="n">
        <x:v>8</x:v>
      </x:c>
      <x:c r="D11" s="19" t="str">
        <x:v>海大集团财报与两轮套保授权</x:v>
      </x:c>
      <x:c r="E11" s="19" t="str">
        <x:v>公共部分 1 项
部分或线索 1 项
待取得 1 项</x:v>
      </x:c>
      <x:c r="F11" s="19" t="str">
        <x:v>缺采购、销售、库存、定价日、数量与作价台账
缺成交、持仓、结算、保证金账户与适用交易所参数快照</x:v>
      </x:c>
      <x:c r="G11" s="19" t="str">
        <x:v>verified</x:v>
      </x:c>
    </x:row>
    <x:row r="12" ht="50.25" customHeight="1">
      <x:c r="A12" s="20" t="str">
        <x:v>FIN-F17-001</x:v>
      </x:c>
      <x:c r="B12" s="20" t="str">
        <x:v>审计错报汇总、更正状态复核与调整后余额交接</x:v>
      </x:c>
      <x:c r="C12" s="22" t="n">
        <x:v>4</x:v>
      </x:c>
      <x:c r="D12" s="20" t="str">
        <x:v>茂化实华2026会计差错更正链</x:v>
      </x:c>
      <x:c r="E12" s="20" t="str">
        <x:v>公共部分 0 项
部分或线索 1 项
待取得 2 项</x:v>
      </x:c>
      <x:c r="F12" s="20" t="str">
        <x:v>缺TB、科目映射、错报形成记录与底层凭证
这些是事后结果；缺报告签发前客户入账确认、未更正错报记录</x:v>
      </x:c>
      <x:c r="G12" s="20" t="str">
        <x:v>verified</x:v>
      </x:c>
    </x:row>
    <x:row r="13" ht="50.25" customHeight="1">
      <x:c r="A13" s="19" t="str">
        <x:v>LAW-L01-002</x:v>
      </x:c>
      <x:c r="B13" s="19" t="str">
        <x:v>签署前合同审改及谈判后版本复核</x:v>
      </x:c>
      <x:c r="C13" s="21" t="n">
        <x:v>3</x:v>
      </x:c>
      <x:c r="D13" s="19" t="str">
        <x:v>广州CZ2026-0463合同及采购需求</x:v>
      </x:c>
      <x:c r="E13" s="19" t="str">
        <x:v>公共部分 0 项
部分或线索 3 项
待取得 0 项</x:v>
      </x:c>
      <x:c r="F13" s="19" t="str">
        <x:v>合同为未签模板，仍有CZ2026-xxxx占位；缺前轮审改稿、完整签署附件
缺中标响应、谈判确认与业务立场；合同分包条款需与采购条件核对</x:v>
      </x:c>
      <x:c r="G13" s="19" t="str">
        <x:v>verified</x:v>
      </x:c>
    </x:row>
    <x:row r="14" ht="50.25" customHeight="1">
      <x:c r="A14" s="20" t="str">
        <x:v>LAW-L02-002</x:v>
      </x:c>
      <x:c r="B14" s="20" t="str">
        <x:v>商事案件证据编排、事实时间线与争点对应复核</x:v>
      </x:c>
      <x:c r="C14" s="22" t="n">
        <x:v>1</x:v>
      </x:c>
      <x:c r="D14" s="20" t="str">
        <x:v>重庆建工近期诉讼公开线索</x:v>
      </x:c>
      <x:c r="E14" s="20" t="str">
        <x:v>公共部分 0 项
部分或线索 2 项
待取得 1 项</x:v>
      </x:c>
      <x:c r="F14" s="20" t="str">
        <x:v>不含合同、付款、履行及通知原件；不能充当原始卷宗
缺完整诉辩文书、委托说明和对方证据</x:v>
      </x:c>
      <x:c r="G14" s="20" t="str">
        <x:v>verified</x:v>
      </x:c>
    </x:row>
    <x:row r="15" ht="50.25" customHeight="1">
      <x:c r="A15" s="19" t="str">
        <x:v>LAW-L03-001</x:v>
      </x:c>
      <x:c r="B15" s="19" t="str">
        <x:v>收购项目法律尽调资料清单与缺口台账维护</x:v>
      </x:c>
      <x:c r="C15" s="21" t="n">
        <x:v>8</x:v>
      </x:c>
      <x:c r="D15" s="19" t="str">
        <x:v>国城矿业2026收购国城实业40%股权</x:v>
      </x:c>
      <x:c r="E15" s="19" t="str">
        <x:v>公共部分 0 项
部分或线索 3 项
待取得 0 项</x:v>
      </x:c>
      <x:c r="F15" s="19" t="str">
        <x:v>缺委托范围与内部交易说明；不与2025收购60%混组
不含数据室原始索引、完整公司档案和许可/合同原件</x:v>
      </x:c>
      <x:c r="G15" s="19" t="str">
        <x:v>verified</x:v>
      </x:c>
    </x:row>
    <x:row r="16" ht="50.25" customHeight="1">
      <x:c r="A16" s="20" t="str">
        <x:v>LAW-L04-001</x:v>
      </x:c>
      <x:c r="B16" s="20" t="str">
        <x:v>债权申报材料整理与本金利息计算复核</x:v>
      </x:c>
      <x:c r="C16" s="22" t="n">
        <x:v>4</x:v>
      </x:c>
      <x:c r="D16" s="20" t="str">
        <x:v>东莞震鑫磁业2026债权申报指引与表单</x:v>
      </x:c>
      <x:c r="E16" s="20" t="str">
        <x:v>公共部分 1 项
部分或线索 1 项
待取得 2 项</x:v>
      </x:c>
      <x:c r="F16" s="20" t="str">
        <x:v>缺合同、债权转移、履行、还款及利息原始凭证
缺担保登记、抵销、诉执及授权材料</x:v>
      </x:c>
      <x:c r="G16" s="20" t="str">
        <x:v>verified</x:v>
      </x:c>
    </x:row>
    <x:row r="17" ht="50.25" customHeight="1">
      <x:c r="A17" s="19" t="str">
        <x:v>LAW-L12-001</x:v>
      </x:c>
      <x:c r="B17" s="19" t="str">
        <x:v>国际仲裁程序时间表草案与延期联动复核</x:v>
      </x:c>
      <x:c r="C17" s="21" t="n">
        <x:v>0</x:v>
      </x:c>
      <x:c r="D17" s="19" t="str">
        <x:v>ICC2026规则链接及适用版本</x:v>
      </x:c>
      <x:c r="E17" s="19" t="str">
        <x:v>公共部分 0 项
部分或线索 1 项
待取得 2 项</x:v>
      </x:c>
      <x:c r="F17" s="19" t="str">
        <x:v>仅链接；需分发授权、仲裁协议和现有程序令
需授权真实程序文件</x:v>
      </x:c>
      <x:c r="G17" s="19" t="str">
        <x:v>candidate</x:v>
      </x:c>
    </x:row>
  </x:sheetData>
  <x:pageMargins left="0.7" right="0.7" top="0.75" bottom="0.75" header="0.3" footer="0.3"/>
  <x:tableParts count="1">
    <x:tablePart xmlns:r="http://schemas.openxmlformats.org/officeDocument/2006/relationships" r:id="Rcd8ab0d86c7341cf"/>
  </x:tableParts>
</x:worksheet>
</file>

<file path=xl/worksheets/sheet2.xml><?xml version="1.0" encoding="utf-8"?>
<worksheet xmlns="http://schemas.openxmlformats.org/spreadsheetml/2006/main" xmlns:r="http://schemas.openxmlformats.org/officeDocument/2006/relationships">
  <sheetPr>
    <tabColor rgb="FFA397BB"/>
  </sheetPr>
  <sheetViews>
    <sheetView showGridLines="0" workbookViewId="0">
      <pane xSplit="2" ySplit="6" topLeftCell="C7" activePane="bottomRight" state="frozen"/>
    </sheetView>
  </sheetViews>
  <sheetFormatPr defaultRowHeight="15"/>
  <cols>
    <col min="1" max="1" width="31.110000610351562" hidden="0" customWidth="1"/>
    <col min="2" max="2" width="43.33000183105469" hidden="0" customWidth="1"/>
    <col min="3" max="3" width="12.220000267028809" hidden="0" customWidth="1"/>
    <col min="4" max="4" width="8.329999923706055" hidden="0" customWidth="1"/>
    <col min="5" max="5" width="27.780000686645508" hidden="0" customWidth="1"/>
    <col min="6" max="6" width="17.219999313354492" hidden="0" customWidth="1"/>
    <col min="7" max="7" width="26.670000076293945" hidden="0" customWidth="1"/>
    <col min="8" max="8" width="10.5600004196167" hidden="0" customWidth="1"/>
    <col min="9" max="9" width="18.889999389648438" hidden="0" customWidth="1"/>
    <col min="10" max="10" width="10" hidden="0" customWidth="1"/>
    <col min="11" max="11" width="9.4399995803833" hidden="0" customWidth="1"/>
    <col min="12" max="12" width="9.4399995803833" hidden="0" customWidth="1"/>
    <col min="13" max="13" width="9.4399995803833" hidden="0" customWidth="1"/>
    <col min="14" max="14" width="46.66999816894531" hidden="0" customWidth="1"/>
  </cols>
  <sheetData>
    <row r="1" ht="10.5" customHeight="1">
      <c r="A1" s="2"/>
      <c r="B1" s="2"/>
      <c r="C1" s="2"/>
      <c r="D1" s="2"/>
      <c r="E1" s="2"/>
      <c r="F1" s="2"/>
      <c r="G1" s="2"/>
      <c r="H1" s="2"/>
      <c r="I1" s="2"/>
      <c r="J1" s="2"/>
      <c r="K1" s="2"/>
      <c r="L1" s="2"/>
      <c r="M1" s="2"/>
      <c r="N1" s="2"/>
    </row>
    <row r="2" ht="25.5" customHeight="1">
      <c r="A2" s="4" t="str">
        <v>材料目录</v>
      </c>
      <c r="B2" s="5"/>
      <c r="C2" s="5"/>
      <c r="D2" s="5"/>
      <c r="E2" s="5"/>
      <c r="F2" s="5"/>
      <c r="G2" s="5"/>
      <c r="H2" s="5"/>
      <c r="I2" s="5"/>
      <c r="J2" s="5"/>
      <c r="K2" s="5"/>
      <c r="L2" s="5"/>
      <c r="M2" s="5"/>
      <c r="N2" s="5"/>
    </row>
    <row r="3" ht="17.25" customHeight="1">
      <c r="A3" s="2" t="str">
        <v>39 份仓库材料：38 份完整原件、1 份业务副本；另有 2 条受限链接。</v>
      </c>
      <c r="B3" s="2"/>
      <c r="C3" s="2"/>
      <c r="D3" s="2"/>
      <c r="E3" s="2" t="str">
        <v>原件数</v>
      </c>
      <c r="F3" s="2" t="n">
        <f>COUNTIFS(H7:H47,"已下载")</f>
        <v>39</v>
      </c>
      <c r="G3" s="2"/>
      <c r="H3" s="2"/>
      <c r="I3" s="2"/>
      <c r="J3" s="2"/>
      <c r="K3" s="2"/>
      <c r="L3" s="2"/>
      <c r="M3" s="2"/>
      <c r="N3" s="2"/>
    </row>
    <row r="4" ht="17.25" customHeight="1">
      <c r="A4" s="2" t="str">
        <v>ICC 记录日期精度为月；ZIP 及章节文件不计独立来源。</v>
      </c>
      <c r="B4" s="2"/>
      <c r="C4" s="2"/>
      <c r="D4" s="2"/>
      <c r="E4" s="2" t="str">
        <v>2026 年原件</v>
      </c>
      <c r="F4" s="2" t="n">
        <f>COUNTIFS(H7:H47,"已下载",C7:C47,"&gt;="&amp;DATE(2026,1,1),C7:C47,"&lt;"&amp;DATE(2027,1,1))</f>
        <v>30</v>
      </c>
      <c r="G4" s="2"/>
      <c r="H4" s="2"/>
      <c r="I4" s="2"/>
      <c r="J4" s="2"/>
      <c r="K4" s="2"/>
      <c r="L4" s="2"/>
      <c r="M4" s="2"/>
      <c r="N4" s="2"/>
    </row>
    <row r="5" ht="17.25" customHeight="1">
      <c r="A5" s="2"/>
      <c r="B5" s="2"/>
      <c r="C5" s="2"/>
      <c r="D5" s="2"/>
      <c r="E5" s="2"/>
      <c r="F5" s="2"/>
      <c r="G5" s="2"/>
      <c r="H5" s="2"/>
      <c r="I5" s="2"/>
      <c r="J5" s="2"/>
      <c r="K5" s="2"/>
      <c r="L5" s="2"/>
      <c r="M5" s="2"/>
      <c r="N5" s="2"/>
    </row>
    <row r="6" ht="24" customHeight="1">
      <c r="A6" s="14" t="str">
        <v>材料编号</v>
      </c>
      <c r="B6" s="15" t="str">
        <v>标题</v>
      </c>
      <c r="C6" s="15" t="str">
        <v>发布日期</v>
      </c>
      <c r="D6" s="15" t="str">
        <v>格式</v>
      </c>
      <c r="E6" s="15" t="str">
        <v>材料组</v>
      </c>
      <c r="F6" s="15" t="str">
        <v>对应卡片</v>
      </c>
      <c r="G6" s="15" t="str">
        <v>材料角色</v>
      </c>
      <c r="H6" s="15" t="str">
        <v>取得状态</v>
      </c>
      <c r="I6" s="15" t="str">
        <v>质量记录</v>
      </c>
      <c r="J6" s="15" t="str">
        <v>入库PDF页数</v>
      </c>
      <c r="K6" s="15" t="str">
        <v>大小 MB</v>
      </c>
      <c r="L6" s="15" t="str">
        <v>来源</v>
      </c>
      <c r="M6" s="15" t="str">
        <v>仓库文件</v>
      </c>
      <c r="N6" s="16" t="str">
        <v>待处理事项</v>
      </c>
    </row>
    <row r="7" ht="43.5" customHeight="1">
      <c r="A7" s="19" t="str">
        <v>CN-1224318011</v>
      </c>
      <c r="B7" s="19" t="str">
        <v>海大集团：商品套期保值业务管理制度</v>
      </c>
      <c r="C7" s="23" t="n">
        <v>45867</v>
      </c>
      <c r="D7" s="19" t="str">
        <v>PDF</v>
      </c>
      <c r="E7" s="19" t="str">
        <v>海大集团财报与两轮套保授权</v>
      </c>
      <c r="F7" s="19" t="str">
        <v>FIN-F13-002</v>
      </c>
      <c r="G7" s="19" t="str">
        <v>公开套保管理制度</v>
      </c>
      <c r="H7" s="19" t="str">
        <v>已下载</v>
      </c>
      <c r="I7" s="19" t="str">
        <v>原件核验通过</v>
      </c>
      <c r="J7" s="25" t="n">
        <v>8</v>
      </c>
      <c r="K7" s="27" t="n">
        <v>0.39617252349853516</v>
      </c>
      <c r="L7" s="29" t="str">
        <v>官方原件</v>
      </c>
      <c r="M7" s="29" t="str">
        <v>仓库文件</v>
      </c>
      <c r="N7" s="19" t="str"/>
    </row>
    <row r="8" ht="43.5" customHeight="1">
      <c r="A8" s="20" t="str">
        <v>CN-1224318016</v>
      </c>
      <c r="B8" s="20" t="str">
        <v>海大集团：关于开展套期保值业务的公告</v>
      </c>
      <c r="C8" s="24" t="n">
        <v>45867</v>
      </c>
      <c r="D8" s="20" t="str">
        <v>PDF</v>
      </c>
      <c r="E8" s="20" t="str">
        <v>海大集团财报与两轮套保授权</v>
      </c>
      <c r="F8" s="20" t="str">
        <v>FIN-F13-002</v>
      </c>
      <c r="G8" s="20" t="str">
        <v>上一轮套保提案</v>
      </c>
      <c r="H8" s="20" t="str">
        <v>已下载</v>
      </c>
      <c r="I8" s="20" t="str">
        <v>原件核验通过</v>
      </c>
      <c r="J8" s="26" t="n">
        <v>5</v>
      </c>
      <c r="K8" s="28" t="n">
        <v>0.41844654083251953</v>
      </c>
      <c r="L8" s="30" t="str">
        <v>官方原件</v>
      </c>
      <c r="M8" s="30" t="str">
        <v>仓库文件</v>
      </c>
      <c r="N8" s="20" t="str"/>
    </row>
    <row r="9" ht="43.5" customHeight="1">
      <c r="A9" s="19" t="str">
        <v>CN-1224486549</v>
      </c>
      <c r="B9" s="19" t="str">
        <v>海大集团：2025年第三次临时股东会决议公告</v>
      </c>
      <c r="C9" s="23" t="n">
        <v>45884</v>
      </c>
      <c r="D9" s="19" t="str">
        <v>PDF</v>
      </c>
      <c r="E9" s="19" t="str">
        <v>海大集团财报与两轮套保授权</v>
      </c>
      <c r="F9" s="19" t="str">
        <v>FIN-F13-002</v>
      </c>
      <c r="G9" s="19" t="str">
        <v>上一轮股东授权</v>
      </c>
      <c r="H9" s="19" t="str">
        <v>已下载</v>
      </c>
      <c r="I9" s="19" t="str">
        <v>原件核验通过</v>
      </c>
      <c r="J9" s="25" t="n">
        <v>4</v>
      </c>
      <c r="K9" s="27" t="n">
        <v>0.31592464447021484</v>
      </c>
      <c r="L9" s="29" t="str">
        <v>官方原件</v>
      </c>
      <c r="M9" s="29" t="str">
        <v>仓库文件</v>
      </c>
      <c r="N9" s="19" t="str"/>
    </row>
    <row r="10" ht="43.5" customHeight="1">
      <c r="A10" s="20" t="str">
        <v>CN-1225045474</v>
      </c>
      <c r="B10" s="20" t="str">
        <v>申万宏源：2025年年度报告</v>
      </c>
      <c r="C10" s="24" t="n">
        <v>46109</v>
      </c>
      <c r="D10" s="20" t="str">
        <v>PDF</v>
      </c>
      <c r="E10" s="20" t="str">
        <v>申万宏源集团23申宏04到期排查</v>
      </c>
      <c r="F10" s="20" t="str">
        <v>FIN-F04-001</v>
      </c>
      <c r="G10" s="20" t="str">
        <v>发行人年度财报</v>
      </c>
      <c r="H10" s="20" t="str">
        <v>已下载</v>
      </c>
      <c r="I10" s="20" t="str">
        <v>原件核验通过</v>
      </c>
      <c r="J10" s="26" t="n">
        <v>458</v>
      </c>
      <c r="K10" s="28" t="n">
        <v>23.88608169555664</v>
      </c>
      <c r="L10" s="30" t="str">
        <v>官方原件</v>
      </c>
      <c r="M10" s="30" t="str">
        <v>仓库文件</v>
      </c>
      <c r="N10" s="20" t="str"/>
    </row>
    <row r="11" ht="50.25" customHeight="1">
      <c r="A11" s="19" t="str">
        <v>CN-1225203635</v>
      </c>
      <c r="B11" s="19" t="str">
        <v>海大集团：2025年年度报告</v>
      </c>
      <c r="C11" s="23" t="n">
        <v>46140</v>
      </c>
      <c r="D11" s="19" t="str">
        <v>PDF</v>
      </c>
      <c r="E11" s="19" t="str">
        <v>海大集团财报与两轮套保授权</v>
      </c>
      <c r="F11" s="19" t="str">
        <v>FIN-F01-001
FIN-F03-002
FIN-F13-002</v>
      </c>
      <c r="G11" s="19" t="str">
        <v>历史财务输入</v>
      </c>
      <c r="H11" s="19" t="str">
        <v>已下载</v>
      </c>
      <c r="I11" s="19" t="str">
        <v>原件核验通过</v>
      </c>
      <c r="J11" s="25" t="n">
        <v>294</v>
      </c>
      <c r="K11" s="27" t="n">
        <v>7.051297187805176</v>
      </c>
      <c r="L11" s="29" t="str">
        <v>官方原件</v>
      </c>
      <c r="M11" s="29" t="str">
        <v>仓库文件</v>
      </c>
      <c r="N11" s="19" t="str"/>
    </row>
    <row r="12" ht="43.5" customHeight="1">
      <c r="A12" s="20" t="str">
        <v>CN-1225248741</v>
      </c>
      <c r="B12" s="20" t="str">
        <v>茂化实华：2025年年度报告</v>
      </c>
      <c r="C12" s="24" t="n">
        <v>46141</v>
      </c>
      <c r="D12" s="20" t="str">
        <v>PDF</v>
      </c>
      <c r="E12" s="20" t="str">
        <v>茂化实华2026会计差错更正链</v>
      </c>
      <c r="F12" s="20" t="str">
        <v>FIN-F17-001
FIN-F01-001</v>
      </c>
      <c r="G12" s="20" t="str">
        <v>更正前财报</v>
      </c>
      <c r="H12" s="20" t="str">
        <v>已下载</v>
      </c>
      <c r="I12" s="20" t="str">
        <v>原件核验通过</v>
      </c>
      <c r="J12" s="26" t="n">
        <v>209</v>
      </c>
      <c r="K12" s="28" t="n">
        <v>1.2312917709350586</v>
      </c>
      <c r="L12" s="30" t="str">
        <v>官方原件</v>
      </c>
      <c r="M12" s="30" t="str">
        <v>仓库文件</v>
      </c>
      <c r="N12" s="20" t="str"/>
    </row>
    <row r="13" ht="43.5" customHeight="1">
      <c r="A13" s="19" t="str">
        <v>CN-1225327554</v>
      </c>
      <c r="B13" s="19" t="str">
        <v>国城矿业：国城矿业股份有限公司重大资产购买暨关联交易报告书（草案）</v>
      </c>
      <c r="C13" s="23" t="n">
        <v>46165</v>
      </c>
      <c r="D13" s="19" t="str">
        <v>PDF</v>
      </c>
      <c r="E13" s="19" t="str">
        <v>国城矿业2026收购国城实业40%股权</v>
      </c>
      <c r="F13" s="19" t="str">
        <v>LAW-L03-001</v>
      </c>
      <c r="G13" s="19" t="str">
        <v>交易初稿</v>
      </c>
      <c r="H13" s="19" t="str">
        <v>已下载</v>
      </c>
      <c r="I13" s="19" t="str">
        <v>原件核验通过</v>
      </c>
      <c r="J13" s="25" t="n">
        <v>383</v>
      </c>
      <c r="K13" s="27" t="n">
        <v>5.678977966308594</v>
      </c>
      <c r="L13" s="29" t="str">
        <v>官方原件</v>
      </c>
      <c r="M13" s="29" t="str">
        <v>仓库文件</v>
      </c>
      <c r="N13" s="19" t="str"/>
    </row>
    <row r="14" ht="43.5" customHeight="1">
      <c r="A14" s="20" t="str">
        <v>CN-1225327559</v>
      </c>
      <c r="B14" s="20" t="str">
        <v>国城矿业：北京中银律师事务所关于国城矿业股份有限公司重大资产购买暨关联交易之法律意见书</v>
      </c>
      <c r="C14" s="24" t="n">
        <v>46165</v>
      </c>
      <c r="D14" s="20" t="str">
        <v>PDF</v>
      </c>
      <c r="E14" s="20" t="str">
        <v>国城矿业2026收购国城实业40%股权</v>
      </c>
      <c r="F14" s="20" t="str">
        <v>LAW-L03-001</v>
      </c>
      <c r="G14" s="20" t="str">
        <v>初始公开法律意见</v>
      </c>
      <c r="H14" s="20" t="str">
        <v>已下载</v>
      </c>
      <c r="I14" s="20" t="str">
        <v>原件通过，需处理问题</v>
      </c>
      <c r="J14" s="26" t="n">
        <v>77</v>
      </c>
      <c r="K14" s="28" t="n">
        <v>27.58999729156494</v>
      </c>
      <c r="L14" s="30" t="str">
        <v>官方原件</v>
      </c>
      <c r="M14" s="30" t="str">
        <v>仓库文件</v>
      </c>
      <c r="N14" s="20" t="str">
        <v>全扫描PDF；已保留逐页OCR及置信度；任何用于评分的关键数值/条款均需回看原页</v>
      </c>
    </row>
    <row r="15" ht="43.5" customHeight="1">
      <c r="A15" s="19" t="str">
        <v>CN-1225327560</v>
      </c>
      <c r="B15" s="19" t="str">
        <v>国城矿业：内蒙古国城实业有限公司审计报告（天健审〔2026〕8-580 号）</v>
      </c>
      <c r="C15" s="23" t="n">
        <v>46165</v>
      </c>
      <c r="D15" s="19" t="str">
        <v>PDF</v>
      </c>
      <c r="E15" s="19" t="str">
        <v>国城矿业2026收购国城实业40%股权</v>
      </c>
      <c r="F15" s="19" t="str">
        <v>LAW-L03-001</v>
      </c>
      <c r="G15" s="19" t="str">
        <v>标的初始审计</v>
      </c>
      <c r="H15" s="19" t="str">
        <v>已下载</v>
      </c>
      <c r="I15" s="19" t="str">
        <v>原件核验通过</v>
      </c>
      <c r="J15" s="25" t="n">
        <v>80</v>
      </c>
      <c r="K15" s="27" t="n">
        <v>23.299455642700195</v>
      </c>
      <c r="L15" s="29" t="str">
        <v>官方原件</v>
      </c>
      <c r="M15" s="29" t="str">
        <v>仓库文件</v>
      </c>
      <c r="N15" s="19" t="str"/>
    </row>
    <row r="16" ht="43.5" customHeight="1">
      <c r="A16" s="20" t="str">
        <v>CN-1225398819</v>
      </c>
      <c r="B16" s="20" t="str">
        <v>申万宏源：申万宏源集团股份有限公司公司债券受托管理事务报告（2025年度）</v>
      </c>
      <c r="C16" s="24" t="n">
        <v>46203</v>
      </c>
      <c r="D16" s="20" t="str">
        <v>PDF</v>
      </c>
      <c r="E16" s="20" t="str">
        <v>申万宏源集团23申宏04到期排查</v>
      </c>
      <c r="F16" s="20" t="str">
        <v>FIN-F04-001</v>
      </c>
      <c r="G16" s="20" t="str">
        <v>年度受托报告</v>
      </c>
      <c r="H16" s="20" t="str">
        <v>已下载</v>
      </c>
      <c r="I16" s="20" t="str">
        <v>原件核验通过</v>
      </c>
      <c r="J16" s="26" t="n">
        <v>30</v>
      </c>
      <c r="K16" s="28" t="n">
        <v>0.3418922424316406</v>
      </c>
      <c r="L16" s="30" t="str">
        <v>官方原件</v>
      </c>
      <c r="M16" s="30" t="str">
        <v>仓库文件</v>
      </c>
      <c r="N16" s="20" t="str"/>
    </row>
    <row r="17" ht="43.5" customHeight="1">
      <c r="A17" s="19" t="str">
        <v>CN-1225449371</v>
      </c>
      <c r="B17" s="19" t="str">
        <v>国城矿业：关于重大资产购买暨关联交易报告书（草案）修订的说明</v>
      </c>
      <c r="C17" s="23" t="n">
        <v>46234</v>
      </c>
      <c r="D17" s="19" t="str">
        <v>PDF</v>
      </c>
      <c r="E17" s="19" t="str">
        <v>国城矿业2026收购国城实业40%股权</v>
      </c>
      <c r="F17" s="19" t="str">
        <v>LAW-L03-001</v>
      </c>
      <c r="G17" s="19" t="str">
        <v>修订说明</v>
      </c>
      <c r="H17" s="19" t="str">
        <v>已下载</v>
      </c>
      <c r="I17" s="19" t="str">
        <v>原件核验通过</v>
      </c>
      <c r="J17" s="25" t="n">
        <v>2</v>
      </c>
      <c r="K17" s="27" t="n">
        <v>0.1402139663696289</v>
      </c>
      <c r="L17" s="29" t="str">
        <v>官方原件</v>
      </c>
      <c r="M17" s="29" t="str">
        <v>仓库文件</v>
      </c>
      <c r="N17" s="19" t="str"/>
    </row>
    <row r="18" ht="43.5" customHeight="1">
      <c r="A18" s="20" t="str">
        <v>CN-1225449376</v>
      </c>
      <c r="B18" s="20" t="str">
        <v>国城矿业：关于回复深圳证券交易所《关于对国城矿业股份有限公司重大资产购买暨关联交易的问询函》的公告</v>
      </c>
      <c r="C18" s="24" t="n">
        <v>46234</v>
      </c>
      <c r="D18" s="20" t="str">
        <v>PDF</v>
      </c>
      <c r="E18" s="20" t="str">
        <v>国城矿业2026收购国城实业40%股权</v>
      </c>
      <c r="F18" s="20" t="str">
        <v>LAW-L03-001</v>
      </c>
      <c r="G18" s="20" t="str">
        <v>已解决的问询回复，含答案</v>
      </c>
      <c r="H18" s="20" t="str">
        <v>已下载</v>
      </c>
      <c r="I18" s="20" t="str">
        <v>原件核验通过</v>
      </c>
      <c r="J18" s="26" t="n">
        <v>228</v>
      </c>
      <c r="K18" s="28" t="n">
        <v>1.6570405960083008</v>
      </c>
      <c r="L18" s="30" t="str">
        <v>官方原件</v>
      </c>
      <c r="M18" s="30" t="str">
        <v>仓库文件</v>
      </c>
      <c r="N18" s="20" t="str"/>
    </row>
    <row r="19" ht="43.5" customHeight="1">
      <c r="A19" s="19" t="str">
        <v>CN-1225449382</v>
      </c>
      <c r="B19" s="19" t="str">
        <v>国城矿业：北京中银律师事务所关于国城矿业股份有限公司重大资产购买暨关联交易之补充法律意见书（一）</v>
      </c>
      <c r="C19" s="23" t="n">
        <v>46234</v>
      </c>
      <c r="D19" s="19" t="str">
        <v>PDF</v>
      </c>
      <c r="E19" s="19" t="str">
        <v>国城矿业2026收购国城实业40%股权</v>
      </c>
      <c r="F19" s="19" t="str">
        <v>LAW-L03-001</v>
      </c>
      <c r="G19" s="19" t="str">
        <v>补充公开法律意见</v>
      </c>
      <c r="H19" s="19" t="str">
        <v>已下载</v>
      </c>
      <c r="I19" s="19" t="str">
        <v>原件通过，需处理问题</v>
      </c>
      <c r="J19" s="25" t="n">
        <v>61</v>
      </c>
      <c r="K19" s="27" t="n">
        <v>20.242562294006348</v>
      </c>
      <c r="L19" s="29" t="str">
        <v>官方原件</v>
      </c>
      <c r="M19" s="29" t="str">
        <v>仓库文件</v>
      </c>
      <c r="N19" s="19" t="str">
        <v>全扫描PDF；已保留逐页OCR及置信度；任何用于评分的关键数值/条款均需回看原页</v>
      </c>
    </row>
    <row r="20" ht="43.5" customHeight="1">
      <c r="A20" s="20" t="str">
        <v>CN-1225449388</v>
      </c>
      <c r="B20" s="20" t="str">
        <v>国城矿业：重大资产购买暨关联交易报告书（草案）（修订稿）</v>
      </c>
      <c r="C20" s="24" t="n">
        <v>46234</v>
      </c>
      <c r="D20" s="20" t="str">
        <v>PDF</v>
      </c>
      <c r="E20" s="20" t="str">
        <v>国城矿业2026收购国城实业40%股权</v>
      </c>
      <c r="F20" s="20" t="str">
        <v>LAW-L03-001</v>
      </c>
      <c r="G20" s="20" t="str">
        <v>交易修订稿</v>
      </c>
      <c r="H20" s="20" t="str">
        <v>已下载</v>
      </c>
      <c r="I20" s="20" t="str">
        <v>原件核验通过</v>
      </c>
      <c r="J20" s="26" t="n">
        <v>398</v>
      </c>
      <c r="K20" s="28" t="n">
        <v>5.951173782348633</v>
      </c>
      <c r="L20" s="30" t="str">
        <v>官方原件</v>
      </c>
      <c r="M20" s="30" t="str">
        <v>仓库文件</v>
      </c>
      <c r="N20" s="20" t="str"/>
    </row>
    <row r="21" ht="43.5" customHeight="1">
      <c r="A21" s="19" t="str">
        <v>CN-1225449390</v>
      </c>
      <c r="B21" s="19" t="str">
        <v>国城矿业：内蒙古国城实业有限公司审计报告（天健审〔2026〕8-650号）</v>
      </c>
      <c r="C21" s="23" t="n">
        <v>46234</v>
      </c>
      <c r="D21" s="19" t="str">
        <v>PDF</v>
      </c>
      <c r="E21" s="19" t="str">
        <v>国城矿业2026收购国城实业40%股权</v>
      </c>
      <c r="F21" s="19" t="str">
        <v>LAW-L03-001</v>
      </c>
      <c r="G21" s="19" t="str">
        <v>标的加期审计</v>
      </c>
      <c r="H21" s="19" t="str">
        <v>已下载</v>
      </c>
      <c r="I21" s="19" t="str">
        <v>原件核验通过</v>
      </c>
      <c r="J21" s="25" t="n">
        <v>96</v>
      </c>
      <c r="K21" s="27" t="n">
        <v>7.662446022033691</v>
      </c>
      <c r="L21" s="29" t="str">
        <v>官方原件</v>
      </c>
      <c r="M21" s="29" t="str">
        <v>仓库文件</v>
      </c>
      <c r="N21" s="19" t="str"/>
    </row>
    <row r="22" ht="43.5" customHeight="1">
      <c r="A22" s="20" t="str">
        <v>CN-1225451854</v>
      </c>
      <c r="B22" s="20" t="str">
        <v>海大集团：关于开展套期保值业务的公告</v>
      </c>
      <c r="C22" s="24" t="n">
        <v>46235</v>
      </c>
      <c r="D22" s="20" t="str">
        <v>PDF</v>
      </c>
      <c r="E22" s="20" t="str">
        <v>海大集团财报与两轮套保授权</v>
      </c>
      <c r="F22" s="20" t="str">
        <v>FIN-F13-002</v>
      </c>
      <c r="G22" s="20" t="str">
        <v>套保授权提案</v>
      </c>
      <c r="H22" s="20" t="str">
        <v>已下载</v>
      </c>
      <c r="I22" s="20" t="str">
        <v>原件核验通过</v>
      </c>
      <c r="J22" s="26" t="n">
        <v>5</v>
      </c>
      <c r="K22" s="28" t="n">
        <v>0.18641090393066406</v>
      </c>
      <c r="L22" s="30" t="str">
        <v>官方原件</v>
      </c>
      <c r="M22" s="30" t="str">
        <v>仓库文件</v>
      </c>
      <c r="N22" s="20" t="str"/>
    </row>
    <row r="23" ht="43.5" customHeight="1">
      <c r="A23" s="19" t="str">
        <v>CN-1225451855</v>
      </c>
      <c r="B23" s="19" t="str">
        <v>海大集团：关于开展套期保值业务的可行性分析</v>
      </c>
      <c r="C23" s="23" t="n">
        <v>46235</v>
      </c>
      <c r="D23" s="19" t="str">
        <v>PDF</v>
      </c>
      <c r="E23" s="19" t="str">
        <v>海大集团财报与两轮套保授权</v>
      </c>
      <c r="F23" s="19" t="str">
        <v>FIN-F13-002</v>
      </c>
      <c r="G23" s="19" t="str">
        <v>套保可行性分析</v>
      </c>
      <c r="H23" s="19" t="str">
        <v>已下载</v>
      </c>
      <c r="I23" s="19" t="str">
        <v>原件核验通过</v>
      </c>
      <c r="J23" s="25" t="n">
        <v>5</v>
      </c>
      <c r="K23" s="27" t="n">
        <v>0.10630035400390625</v>
      </c>
      <c r="L23" s="29" t="str">
        <v>官方原件</v>
      </c>
      <c r="M23" s="29" t="str">
        <v>仓库文件</v>
      </c>
      <c r="N23" s="19" t="str"/>
    </row>
    <row r="24" ht="43.5" customHeight="1">
      <c r="A24" s="20" t="str">
        <v>CN-1225460240</v>
      </c>
      <c r="B24" s="20" t="str">
        <v>茂化实华：2025年年度报告（更正后）</v>
      </c>
      <c r="C24" s="24" t="n">
        <v>46240</v>
      </c>
      <c r="D24" s="20" t="str">
        <v>PDF</v>
      </c>
      <c r="E24" s="20" t="str">
        <v>茂化实华2026会计差错更正链</v>
      </c>
      <c r="F24" s="20" t="str">
        <v>FIN-F17-001
FIN-F01-001</v>
      </c>
      <c r="G24" s="20" t="str">
        <v>更正后财报，含答案</v>
      </c>
      <c r="H24" s="20" t="str">
        <v>已下载</v>
      </c>
      <c r="I24" s="20" t="str">
        <v>原件通过，需处理问题</v>
      </c>
      <c r="J24" s="26" t="n">
        <v>209</v>
      </c>
      <c r="K24" s="28" t="n">
        <v>1.1741180419921875</v>
      </c>
      <c r="L24" s="30" t="str">
        <v>官方原件</v>
      </c>
      <c r="M24" s="30" t="str">
        <v>仓库文件</v>
      </c>
      <c r="N24" s="20" t="str">
        <v>更正后报表封面沿用2026-04-29，实际更正版披露2026-08-06；按版本关系记录</v>
      </c>
    </row>
    <row r="25" ht="50.25" customHeight="1">
      <c r="A25" s="19" t="str">
        <v>CN-1225460243</v>
      </c>
      <c r="B25" s="19" t="str">
        <v>茂化实华：关于茂名石化实华股份有限公司前期会计差错更正情况专项说明的审核报告</v>
      </c>
      <c r="C25" s="23" t="n">
        <v>46240</v>
      </c>
      <c r="D25" s="19" t="str">
        <v>PDF</v>
      </c>
      <c r="E25" s="19" t="str">
        <v>茂化实华2026会计差错更正链</v>
      </c>
      <c r="F25" s="19" t="str">
        <v>FIN-F17-001
FIN-F01-001</v>
      </c>
      <c r="G25" s="19" t="str">
        <v>更正专项审核，含答案</v>
      </c>
      <c r="H25" s="19" t="str">
        <v>已下载</v>
      </c>
      <c r="I25" s="19" t="str">
        <v>原件通过，需处理问题</v>
      </c>
      <c r="J25" s="25" t="n">
        <v>6</v>
      </c>
      <c r="K25" s="27" t="n">
        <v>1.2456979751586914</v>
      </c>
      <c r="L25" s="29" t="str">
        <v>官方原件</v>
      </c>
      <c r="M25" s="29" t="str">
        <v>仓库文件</v>
      </c>
      <c r="N25" s="19" t="str">
        <v>全扫描PDF；正文页1-6保留OCR；证照/个人信息附页7-10不进入派生层或任务输入
本报告是更正结果复核材料，不能当作更正前审计输入</v>
      </c>
    </row>
    <row r="26" ht="43.5" customHeight="1">
      <c r="A26" s="20" t="str">
        <v>CN-1225460245</v>
      </c>
      <c r="B26" s="20" t="str">
        <v>茂化实华：关于前期会计差错更正的公告</v>
      </c>
      <c r="C26" s="24" t="n">
        <v>46240</v>
      </c>
      <c r="D26" s="20" t="str">
        <v>PDF</v>
      </c>
      <c r="E26" s="20" t="str">
        <v>茂化实华2026会计差错更正链</v>
      </c>
      <c r="F26" s="20" t="str">
        <v>FIN-F17-001
FIN-F01-001</v>
      </c>
      <c r="G26" s="20" t="str">
        <v>更正结果，含答案</v>
      </c>
      <c r="H26" s="20" t="str">
        <v>已下载</v>
      </c>
      <c r="I26" s="20" t="str">
        <v>原件核验通过</v>
      </c>
      <c r="J26" s="26" t="n">
        <v>26</v>
      </c>
      <c r="K26" s="28" t="n">
        <v>0.32494354248046875</v>
      </c>
      <c r="L26" s="30" t="str">
        <v>官方原件</v>
      </c>
      <c r="M26" s="30" t="str">
        <v>仓库文件</v>
      </c>
      <c r="N26" s="20" t="str"/>
    </row>
    <row r="27" ht="43.5" customHeight="1">
      <c r="A27" s="19" t="str">
        <v>CN-1225489930</v>
      </c>
      <c r="B27" s="19" t="str">
        <v>重庆建工：重庆建工关于公司及子公司涉及诉讼的公告</v>
      </c>
      <c r="C27" s="23" t="n">
        <v>46256</v>
      </c>
      <c r="D27" s="19" t="str">
        <v>PDF</v>
      </c>
      <c r="E27" s="19" t="str">
        <v>重庆建工近期诉讼公开线索</v>
      </c>
      <c r="F27" s="19" t="str">
        <v>LAW-L02-002</v>
      </c>
      <c r="G27" s="19" t="str">
        <v>公司诉讼披露，非证据卷宗</v>
      </c>
      <c r="H27" s="19" t="str">
        <v>已下载</v>
      </c>
      <c r="I27" s="19" t="str">
        <v>原件通过，需处理问题</v>
      </c>
      <c r="J27" s="25" t="n">
        <v>5</v>
      </c>
      <c r="K27" s="27" t="n">
        <v>0.17786884307861328</v>
      </c>
      <c r="L27" s="29" t="str">
        <v>官方原件</v>
      </c>
      <c r="M27" s="29" t="str">
        <v>仓库文件</v>
      </c>
      <c r="N27" s="19" t="str">
        <v>公司对案情及诉请的披露不是法院查明或原始证据；旧案已裁判结论不作新案事前输入</v>
      </c>
    </row>
    <row r="28" ht="43.5" customHeight="1">
      <c r="A28" s="20" t="str">
        <v>CN-1225491061</v>
      </c>
      <c r="B28" s="20" t="str">
        <v>海大集团：2026年第一次临时股东会决议公告</v>
      </c>
      <c r="C28" s="24" t="n">
        <v>46256</v>
      </c>
      <c r="D28" s="20" t="str">
        <v>PDF</v>
      </c>
      <c r="E28" s="20" t="str">
        <v>海大集团财报与两轮套保授权</v>
      </c>
      <c r="F28" s="20" t="str">
        <v>FIN-F13-002</v>
      </c>
      <c r="G28" s="20" t="str">
        <v>股东授权决议</v>
      </c>
      <c r="H28" s="20" t="str">
        <v>已下载</v>
      </c>
      <c r="I28" s="20" t="str">
        <v>原件核验通过</v>
      </c>
      <c r="J28" s="26" t="n">
        <v>3</v>
      </c>
      <c r="K28" s="28" t="n">
        <v>0.14395999908447266</v>
      </c>
      <c r="L28" s="30" t="str">
        <v>官方原件</v>
      </c>
      <c r="M28" s="30" t="str">
        <v>仓库文件</v>
      </c>
      <c r="N28" s="20" t="str"/>
    </row>
    <row r="29" ht="50.25" customHeight="1">
      <c r="A29" s="19" t="str">
        <v>CN-1225495975</v>
      </c>
      <c r="B29" s="19" t="str">
        <v>海大集团：2026年半年度报告</v>
      </c>
      <c r="C29" s="23" t="n">
        <v>46259</v>
      </c>
      <c r="D29" s="19" t="str">
        <v>PDF</v>
      </c>
      <c r="E29" s="19" t="str">
        <v>海大集团财报与两轮套保授权</v>
      </c>
      <c r="F29" s="19" t="str">
        <v>FIN-F01-001
FIN-F03-002
FIN-F13-002</v>
      </c>
      <c r="G29" s="19" t="str">
        <v>最新财务输入</v>
      </c>
      <c r="H29" s="19" t="str">
        <v>已下载</v>
      </c>
      <c r="I29" s="19" t="str">
        <v>原件通过，需处理问题</v>
      </c>
      <c r="J29" s="25" t="n">
        <v>221</v>
      </c>
      <c r="K29" s="27" t="n">
        <v>6.011445999145508</v>
      </c>
      <c r="L29" s="29" t="str">
        <v>官方原件</v>
      </c>
      <c r="M29" s="29" t="str">
        <v>仓库文件</v>
      </c>
      <c r="N29" s="19" t="str">
        <v>2026半年报未经审计，不能标为审计报表；币种人民币、单位元与其他披露万元分开</v>
      </c>
    </row>
    <row r="30" ht="50.25" customHeight="1">
      <c r="A30" s="20" t="str">
        <v>CN-1225545737</v>
      </c>
      <c r="B30" s="20" t="str">
        <v>申万宏源：申万宏源集团股份有限公司2023年面向专业投资者公开发行公司债券（(第二期）（品种二）2026年兑付兑息及摘牌的公告</v>
      </c>
      <c r="C30" s="24" t="n">
        <v>46268</v>
      </c>
      <c r="D30" s="20" t="str">
        <v>PDF</v>
      </c>
      <c r="E30" s="20" t="str">
        <v>申万宏源集团23申宏04到期排查</v>
      </c>
      <c r="F30" s="20" t="str">
        <v>FIN-F04-001</v>
      </c>
      <c r="G30" s="20" t="str">
        <v>兑付安排公告</v>
      </c>
      <c r="H30" s="20" t="str">
        <v>已下载</v>
      </c>
      <c r="I30" s="20" t="str">
        <v>原件通过，需处理问题</v>
      </c>
      <c r="J30" s="26" t="n">
        <v>5</v>
      </c>
      <c r="K30" s="28" t="n">
        <v>0.17864131927490234</v>
      </c>
      <c r="L30" s="30" t="str">
        <v>官方原件</v>
      </c>
      <c r="M30" s="30" t="str">
        <v>仓库文件</v>
      </c>
      <c r="N30" s="20" t="str">
        <v>兑付公告说明计划/安排，不能据此判定资金已到账</v>
      </c>
    </row>
    <row r="31" ht="43.5" customHeight="1">
      <c r="A31" s="19" t="str">
        <v>COURT-ZHENXIN-CLAIM</v>
      </c>
      <c r="B31" s="19" t="str">
        <v>东莞市震鑫磁业有限公司：债权申报书</v>
      </c>
      <c r="C31" s="23" t="n">
        <v>46303</v>
      </c>
      <c r="D31" s="19" t="str">
        <v>DOCX</v>
      </c>
      <c r="E31" s="19" t="str">
        <v>东莞震鑫磁业2026债权申报指引与表单</v>
      </c>
      <c r="F31" s="19" t="str">
        <v>LAW-L04-001</v>
      </c>
      <c r="G31" s="19" t="str">
        <v>本案空白申报表</v>
      </c>
      <c r="H31" s="19" t="str">
        <v>已下载</v>
      </c>
      <c r="I31" s="19" t="str">
        <v>原件核验通过</v>
      </c>
      <c r="J31" s="25"/>
      <c r="K31" s="27" t="n">
        <v>0.014660835266113281</v>
      </c>
      <c r="L31" s="29" t="str">
        <v>官方原件</v>
      </c>
      <c r="M31" s="29" t="str">
        <v>仓库文件</v>
      </c>
      <c r="N31" s="19" t="str"/>
    </row>
    <row r="32" ht="43.5" customHeight="1">
      <c r="A32" s="20" t="str">
        <v>COURT-ZHENXIN-GUIDE</v>
      </c>
      <c r="B32" s="20" t="str">
        <v>东莞市震鑫磁业有限公司：债权申报指引</v>
      </c>
      <c r="C32" s="24" t="n">
        <v>46303</v>
      </c>
      <c r="D32" s="20" t="str">
        <v>PDF</v>
      </c>
      <c r="E32" s="20" t="str">
        <v>东莞震鑫磁业2026债权申报指引与表单</v>
      </c>
      <c r="F32" s="20" t="str">
        <v>LAW-L04-001</v>
      </c>
      <c r="G32" s="20" t="str">
        <v>本案申报指引</v>
      </c>
      <c r="H32" s="20" t="str">
        <v>已下载</v>
      </c>
      <c r="I32" s="20" t="str">
        <v>原件核验通过</v>
      </c>
      <c r="J32" s="26" t="n">
        <v>6</v>
      </c>
      <c r="K32" s="28" t="n">
        <v>0.17971229553222656</v>
      </c>
      <c r="L32" s="30" t="str">
        <v>官方原件</v>
      </c>
      <c r="M32" s="30" t="str">
        <v>仓库文件</v>
      </c>
      <c r="N32" s="20" t="str"/>
    </row>
    <row r="33" ht="43.5" customHeight="1">
      <c r="A33" s="19" t="str">
        <v>COURT-ZHENXIN-LIST</v>
      </c>
      <c r="B33" s="19" t="str">
        <v>东莞市震鑫磁业有限公司：债权申报材料清单</v>
      </c>
      <c r="C33" s="23" t="n">
        <v>46303</v>
      </c>
      <c r="D33" s="19" t="str">
        <v>DOCX</v>
      </c>
      <c r="E33" s="19" t="str">
        <v>东莞震鑫磁业2026债权申报指引与表单</v>
      </c>
      <c r="F33" s="19" t="str">
        <v>LAW-L04-001</v>
      </c>
      <c r="G33" s="19" t="str">
        <v>本案空白申报表</v>
      </c>
      <c r="H33" s="19" t="str">
        <v>已下载</v>
      </c>
      <c r="I33" s="19" t="str">
        <v>原件核验通过</v>
      </c>
      <c r="J33" s="25"/>
      <c r="K33" s="27" t="n">
        <v>0.01275634765625</v>
      </c>
      <c r="L33" s="29" t="str">
        <v>官方原件</v>
      </c>
      <c r="M33" s="29" t="str">
        <v>仓库文件</v>
      </c>
      <c r="N33" s="19" t="str"/>
    </row>
    <row r="34" ht="43.5" customHeight="1">
      <c r="A34" s="20" t="str">
        <v>COURT-ZHENXIN-REGISTER</v>
      </c>
      <c r="B34" s="20" t="str">
        <v>东莞市震鑫磁业有限公司：债权申报登记表</v>
      </c>
      <c r="C34" s="24" t="n">
        <v>46303</v>
      </c>
      <c r="D34" s="20" t="str">
        <v>DOCX</v>
      </c>
      <c r="E34" s="20" t="str">
        <v>东莞震鑫磁业2026债权申报指引与表单</v>
      </c>
      <c r="F34" s="20" t="str">
        <v>LAW-L04-001</v>
      </c>
      <c r="G34" s="20" t="str">
        <v>本案空白申报表</v>
      </c>
      <c r="H34" s="20" t="str">
        <v>已下载</v>
      </c>
      <c r="I34" s="20" t="str">
        <v>原件核验通过</v>
      </c>
      <c r="J34" s="26"/>
      <c r="K34" s="28" t="n">
        <v>0.013580322265625</v>
      </c>
      <c r="L34" s="30" t="str">
        <v>官方原件</v>
      </c>
      <c r="M34" s="30" t="str">
        <v>仓库文件</v>
      </c>
      <c r="N34" s="20" t="str"/>
    </row>
    <row r="35" ht="43.5" customHeight="1">
      <c r="A35" s="19" t="str">
        <v>CSRC-XJ-DEBT-NOTICE-20260609</v>
      </c>
      <c r="B35" s="19" t="str">
        <v>关于做好2026年新疆辖区债券相关工作的通知</v>
      </c>
      <c r="C35" s="23" t="n">
        <v>46182</v>
      </c>
      <c r="D35" s="19" t="str">
        <v>HTML</v>
      </c>
      <c r="E35" s="19" t="str">
        <v>申万宏源集团23申宏04到期排查</v>
      </c>
      <c r="F35" s="19" t="str">
        <v>FIN-F04-001</v>
      </c>
      <c r="G35" s="19" t="str">
        <v>辖区年度监管通知</v>
      </c>
      <c r="H35" s="19" t="str">
        <v>已下载</v>
      </c>
      <c r="I35" s="19" t="str">
        <v>原件核验通过</v>
      </c>
      <c r="J35" s="25"/>
      <c r="K35" s="27" t="n">
        <v>0.036685943603515625</v>
      </c>
      <c r="L35" s="29" t="str">
        <v>官方原件</v>
      </c>
      <c r="M35" s="29" t="str">
        <v>仓库文件</v>
      </c>
      <c r="N35" s="19" t="str"/>
    </row>
    <row r="36" ht="50.25" customHeight="1">
      <c r="A36" s="20" t="str">
        <v>CSRC-XJ-FUNDING-FORM-20260609</v>
      </c>
      <c r="B36" s="20" t="str">
        <v>附件5：公司（企业）债券偿债资金落实情况排查表</v>
      </c>
      <c r="C36" s="24" t="n">
        <v>46182</v>
      </c>
      <c r="D36" s="20" t="str">
        <v>XLSX</v>
      </c>
      <c r="E36" s="20" t="str">
        <v>申万宏源集团23申宏04到期排查</v>
      </c>
      <c r="F36" s="20" t="str">
        <v>FIN-F04-001</v>
      </c>
      <c r="G36" s="20" t="str">
        <v>空白监管工作簿</v>
      </c>
      <c r="H36" s="20" t="str">
        <v>已下载</v>
      </c>
      <c r="I36" s="20" t="str">
        <v>原件通过，需处理问题</v>
      </c>
      <c r="J36" s="26"/>
      <c r="K36" s="28" t="n">
        <v>0.06492996215820312</v>
      </c>
      <c r="L36" s="30" t="str">
        <v>官方原件</v>
      </c>
      <c r="M36" s="30" t="str">
        <v>仓库文件</v>
      </c>
      <c r="N36" s="20" t="str">
        <v>原生工作簿存在打印区域之外大量重复表头、合并区域及空白Sheet2；可用区域按官方打印设置A2:Q18（含A1附件标题）核对
原表A14邮箱与通知正文联系人邮箱不同；不擅自修正原件</v>
      </c>
    </row>
    <row r="37" ht="43.5" customHeight="1">
      <c r="A37" s="19" t="str">
        <v>GZ-CZ20260463-CONTRACT</v>
      </c>
      <c r="B37" s="19" t="str">
        <v>广州市政府办公厅2026-2027信息化运维：第五章 合同文本</v>
      </c>
      <c r="C37" s="23" t="n">
        <v>46142</v>
      </c>
      <c r="D37" s="19" t="str">
        <v>DOCX</v>
      </c>
      <c r="E37" s="19" t="str">
        <v>广州CZ2026-0463合同及采购需求</v>
      </c>
      <c r="F37" s="19" t="str">
        <v>LAW-L01-002</v>
      </c>
      <c r="G37" s="19" t="str">
        <v>项目未签合同模板</v>
      </c>
      <c r="H37" s="19" t="str">
        <v>已下载</v>
      </c>
      <c r="I37" s="19" t="str">
        <v>原件通过，需处理问题</v>
      </c>
      <c r="J37" s="25"/>
      <c r="K37" s="27" t="n">
        <v>0.019475936889648438</v>
      </c>
      <c r="L37" s="29" t="str">
        <v>官方原件</v>
      </c>
      <c r="M37" s="29" t="str">
        <v>仓库文件</v>
      </c>
      <c r="N37" s="19" t="str">
        <v>保留未签模板与CZ2026-xxxx占位；不得冒充签署稿
合同第5条第9项限制分包，与采购需求预留中小企业分包条件需核对</v>
      </c>
    </row>
    <row r="38" ht="43.5" customHeight="1">
      <c r="A38" s="20" t="str">
        <v>GZ-CZ20260463-REQUIREMENTS</v>
      </c>
      <c r="B38" s="20" t="str">
        <v>广州市政府办公厅2026-2027信息化运维：第二章 采购需求</v>
      </c>
      <c r="C38" s="24" t="n">
        <v>46142</v>
      </c>
      <c r="D38" s="20" t="str">
        <v>DOCX</v>
      </c>
      <c r="E38" s="20" t="str">
        <v>广州CZ2026-0463合同及采购需求</v>
      </c>
      <c r="F38" s="20" t="str">
        <v>LAW-L01-002</v>
      </c>
      <c r="G38" s="20" t="str">
        <v>项目采购需求</v>
      </c>
      <c r="H38" s="20" t="str">
        <v>已下载</v>
      </c>
      <c r="I38" s="20" t="str">
        <v>原件核验通过</v>
      </c>
      <c r="J38" s="26"/>
      <c r="K38" s="28" t="n">
        <v>0.06880474090576172</v>
      </c>
      <c r="L38" s="30" t="str">
        <v>官方原件</v>
      </c>
      <c r="M38" s="30" t="str">
        <v>仓库文件</v>
      </c>
      <c r="N38" s="20" t="str"/>
    </row>
    <row r="39" ht="43.5" customHeight="1">
      <c r="A39" s="19" t="str">
        <v>GZ-CZ20260463-TENDER</v>
      </c>
      <c r="B39" s="19" t="str">
        <v>广州市政府办公厅2026-2027信息化运维：项目招标文件（2026042903）</v>
      </c>
      <c r="C39" s="23" t="n">
        <v>46142</v>
      </c>
      <c r="D39" s="19" t="str">
        <v>ZIP</v>
      </c>
      <c r="E39" s="19" t="str">
        <v>广州CZ2026-0463合同及采购需求</v>
      </c>
      <c r="F39" s="19" t="str">
        <v>LAW-L01-002</v>
      </c>
      <c r="G39" s="19" t="str">
        <v>完整招标档案，与章节重叠</v>
      </c>
      <c r="H39" s="19" t="str">
        <v>已下载</v>
      </c>
      <c r="I39" s="19" t="str">
        <v>原件通过，需处理问题</v>
      </c>
      <c r="J39" s="25"/>
      <c r="K39" s="27" t="n">
        <v>0.3691244125366211</v>
      </c>
      <c r="L39" s="29" t="str">
        <v>官方原件</v>
      </c>
      <c r="M39" s="29" t="str">
        <v>仓库文件</v>
      </c>
      <c r="N39" s="19" t="str">
        <v>ZIP仅作原始容器，内部PDF/Word与独立章节不作为独立来源重复计数</v>
      </c>
    </row>
    <row r="40" ht="43.5" customHeight="1">
      <c r="A40" s="20" t="str">
        <v>ICC-RULES-2026-EN</v>
      </c>
      <c r="B40" s="20" t="str">
        <v>ICC 2026仲裁规则（英文原文）</v>
      </c>
      <c r="C40" s="24" t="str">
        <v>2026-06</v>
      </c>
      <c r="D40" s="20" t="str">
        <v>PDF</v>
      </c>
      <c r="E40" s="20" t="str">
        <v>ICC2026规则链接及适用版本</v>
      </c>
      <c r="F40" s="20" t="str">
        <v>LAW-L12-001</v>
      </c>
      <c r="G40" s="20" t="str">
        <v>现行机构规则</v>
      </c>
      <c r="H40" s="20" t="str">
        <v>仅链接</v>
      </c>
      <c r="I40" s="20" t="str">
        <v>仅链接，需授权</v>
      </c>
      <c r="J40" s="26"/>
      <c r="K40" s="28"/>
      <c r="L40" s="30" t="str">
        <v>官方原件</v>
      </c>
      <c r="M40" s="30" t="str">
        <v>仅链接</v>
      </c>
      <c r="N40" s="20" t="str"/>
    </row>
    <row r="41" ht="43.5" customHeight="1">
      <c r="A41" s="19" t="str">
        <v>ICC-RULES-2026-ZH</v>
      </c>
      <c r="B41" s="19" t="str">
        <v>ICC 2026仲裁规则（中文译本）</v>
      </c>
      <c r="C41" s="23" t="str">
        <v>2026-06</v>
      </c>
      <c r="D41" s="19" t="str">
        <v>PDF</v>
      </c>
      <c r="E41" s="19" t="str">
        <v>ICC2026规则链接及适用版本</v>
      </c>
      <c r="F41" s="19" t="str">
        <v>LAW-L12-001</v>
      </c>
      <c r="G41" s="19" t="str">
        <v>规则中文译本</v>
      </c>
      <c r="H41" s="19" t="str">
        <v>仅链接</v>
      </c>
      <c r="I41" s="19" t="str">
        <v>仅链接，需授权</v>
      </c>
      <c r="J41" s="25"/>
      <c r="K41" s="27"/>
      <c r="L41" s="29" t="str">
        <v>官方原件</v>
      </c>
      <c r="M41" s="29" t="str">
        <v>仅链接</v>
      </c>
      <c r="N41" s="19" t="str"/>
    </row>
    <row r="42" ht="43.5" customHeight="1">
      <c r="A42" s="20" t="str">
        <v>SSE-ZHIXIN-AUDIT-20251030</v>
      </c>
      <c r="B42" s="20" t="str">
        <v>至信股份申报审计报告</v>
      </c>
      <c r="C42" s="24" t="n">
        <v>45960</v>
      </c>
      <c r="D42" s="20" t="str">
        <v>PDF</v>
      </c>
      <c r="E42" s="20" t="str">
        <v>至信股份2025下半年IPO披露链</v>
      </c>
      <c r="F42" s="20" t="str">
        <v>FIN-F02-001</v>
      </c>
      <c r="G42" s="20" t="str">
        <v>审计财务输入</v>
      </c>
      <c r="H42" s="20" t="str">
        <v>已下载</v>
      </c>
      <c r="I42" s="20" t="str">
        <v>原件通过，需处理问题</v>
      </c>
      <c r="J42" s="26" t="n">
        <v>205</v>
      </c>
      <c r="K42" s="28" t="n">
        <v>13.154956817626953</v>
      </c>
      <c r="L42" s="30" t="str">
        <v>官方原件</v>
      </c>
      <c r="M42" s="30" t="str">
        <v>仓库文件</v>
      </c>
      <c r="N42" s="20" t="str">
        <v>前24页为扫描内容；OCR不作为数值金标准</v>
      </c>
    </row>
    <row r="43" ht="43.5" customHeight="1">
      <c r="A43" s="19" t="str">
        <v>SSE-ZHIXIN-LEGAL-20251030</v>
      </c>
      <c r="B43" s="19" t="str">
        <v>国浩律师关于至信股份上市的法律意见书</v>
      </c>
      <c r="C43" s="23" t="n">
        <v>45960</v>
      </c>
      <c r="D43" s="19" t="str">
        <v>PDF</v>
      </c>
      <c r="E43" s="19" t="str">
        <v>至信股份2025下半年IPO披露链</v>
      </c>
      <c r="F43" s="19" t="str">
        <v>FIN-F02-001</v>
      </c>
      <c r="G43" s="19" t="str">
        <v>公开法律意见</v>
      </c>
      <c r="H43" s="19" t="str">
        <v>已下载</v>
      </c>
      <c r="I43" s="19" t="str">
        <v>原件核验通过</v>
      </c>
      <c r="J43" s="25" t="n">
        <v>305</v>
      </c>
      <c r="K43" s="27" t="n">
        <v>5.682163238525391</v>
      </c>
      <c r="L43" s="29" t="str">
        <v>官方原件</v>
      </c>
      <c r="M43" s="29" t="str">
        <v>仓库文件</v>
      </c>
      <c r="N43" s="19" t="str"/>
    </row>
    <row r="44" ht="43.5" customHeight="1">
      <c r="A44" s="20" t="str">
        <v>SSE-ZHIXIN-PROSPECTUS-20251030</v>
      </c>
      <c r="B44" s="20" t="str">
        <v>至信股份招股说明书（上会稿）</v>
      </c>
      <c r="C44" s="24" t="n">
        <v>45960</v>
      </c>
      <c r="D44" s="20" t="str">
        <v>PDF</v>
      </c>
      <c r="E44" s="20" t="str">
        <v>至信股份2025下半年IPO披露链</v>
      </c>
      <c r="F44" s="20" t="str">
        <v>FIN-F02-001</v>
      </c>
      <c r="G44" s="20" t="str">
        <v>公开招股说明书</v>
      </c>
      <c r="H44" s="20" t="str">
        <v>已下载</v>
      </c>
      <c r="I44" s="20" t="str">
        <v>原件核验通过</v>
      </c>
      <c r="J44" s="26" t="n">
        <v>411</v>
      </c>
      <c r="K44" s="28" t="n">
        <v>10.499476432800293</v>
      </c>
      <c r="L44" s="30" t="str">
        <v>官方原件</v>
      </c>
      <c r="M44" s="30" t="str">
        <v>仓库文件</v>
      </c>
      <c r="N44" s="20" t="str"/>
    </row>
    <row r="45" ht="43.5" customHeight="1">
      <c r="A45" s="19" t="str">
        <v>SSE-ZHIXIN-PROSPECTUS-20251114</v>
      </c>
      <c r="B45" s="19" t="str">
        <v>至信股份招股说明书（注册稿）</v>
      </c>
      <c r="C45" s="23" t="n">
        <v>45975</v>
      </c>
      <c r="D45" s="19" t="str">
        <v>PDF</v>
      </c>
      <c r="E45" s="19" t="str">
        <v>至信股份2025下半年IPO披露链</v>
      </c>
      <c r="F45" s="19" t="str">
        <v>FIN-F02-001</v>
      </c>
      <c r="G45" s="19" t="str">
        <v>后续版本，默认时点外</v>
      </c>
      <c r="H45" s="19" t="str">
        <v>已下载</v>
      </c>
      <c r="I45" s="19" t="str">
        <v>原件核验通过</v>
      </c>
      <c r="J45" s="25" t="n">
        <v>414</v>
      </c>
      <c r="K45" s="27" t="n">
        <v>10.676956176757812</v>
      </c>
      <c r="L45" s="29" t="str">
        <v>官方原件</v>
      </c>
      <c r="M45" s="29" t="str">
        <v>仓库文件</v>
      </c>
      <c r="N45" s="19" t="str"/>
    </row>
    <row r="46" ht="43.5" customHeight="1">
      <c r="A46" s="20" t="str">
        <v>SSE-ZHIXIN-REPLY1-20250901</v>
      </c>
      <c r="B46" s="20" t="str">
        <v>至信股份首轮问询回复</v>
      </c>
      <c r="C46" s="24" t="n">
        <v>45901</v>
      </c>
      <c r="D46" s="20" t="str">
        <v>PDF</v>
      </c>
      <c r="E46" s="20" t="str">
        <v>至信股份2025下半年IPO披露链</v>
      </c>
      <c r="F46" s="20" t="str">
        <v>FIN-F02-001</v>
      </c>
      <c r="G46" s="20" t="str">
        <v>已解决的问询回复，含答案</v>
      </c>
      <c r="H46" s="20" t="str">
        <v>已下载</v>
      </c>
      <c r="I46" s="20" t="str">
        <v>原件核验通过</v>
      </c>
      <c r="J46" s="26" t="n">
        <v>340</v>
      </c>
      <c r="K46" s="28" t="n">
        <v>6.832372665405273</v>
      </c>
      <c r="L46" s="30" t="str">
        <v>官方原件</v>
      </c>
      <c r="M46" s="30" t="str">
        <v>仓库文件</v>
      </c>
      <c r="N46" s="20" t="str"/>
    </row>
    <row r="47" ht="43.5" customHeight="1">
      <c r="A47" s="19" t="str">
        <v>SSE-ZHIXIN-REPLY2-20251010</v>
      </c>
      <c r="B47" s="19" t="str">
        <v>至信股份第二轮问询回复</v>
      </c>
      <c r="C47" s="23" t="n">
        <v>45940</v>
      </c>
      <c r="D47" s="19" t="str">
        <v>PDF</v>
      </c>
      <c r="E47" s="19" t="str">
        <v>至信股份2025下半年IPO披露链</v>
      </c>
      <c r="F47" s="19" t="str">
        <v>FIN-F02-001</v>
      </c>
      <c r="G47" s="19" t="str">
        <v>已解决的问询回复，含答案</v>
      </c>
      <c r="H47" s="19" t="str">
        <v>已下载</v>
      </c>
      <c r="I47" s="19" t="str">
        <v>原件核验通过</v>
      </c>
      <c r="J47" s="25" t="n">
        <v>157</v>
      </c>
      <c r="K47" s="27" t="n">
        <v>4.01528263092041</v>
      </c>
      <c r="L47" s="29" t="str">
        <v>官方原件</v>
      </c>
      <c r="M47" s="29" t="str">
        <v>仓库文件</v>
      </c>
      <c r="N47" s="19" t="str"/>
    </row>
  </sheetData>
  <conditionalFormatting sqref="H7:H47">
    <cfRule type="containsText" dxfId="0" priority="1" operator="containsText" text="仅链接"/>
  </conditionalFormatting>
  <conditionalFormatting sqref="I7:I47">
    <cfRule type="containsText" dxfId="1" priority="2" operator="containsText" text="需处理"/>
  </conditionalFormatting>
  <hyperlinks>
    <hyperlink ref="L7" r:id="rIdNativeLink1"/>
    <hyperlink ref="M7" r:id="rIdNativeLink2"/>
    <hyperlink ref="L8" r:id="rIdNativeLink3"/>
    <hyperlink ref="M8" r:id="rIdNativeLink4"/>
    <hyperlink ref="L9" r:id="rIdNativeLink5"/>
    <hyperlink ref="M9" r:id="rIdNativeLink6"/>
    <hyperlink ref="L10" r:id="rIdNativeLink7"/>
    <hyperlink ref="M10" r:id="rIdNativeLink8"/>
    <hyperlink ref="L11" r:id="rIdNativeLink9"/>
    <hyperlink ref="M11" r:id="rIdNativeLink10"/>
    <hyperlink ref="L12" r:id="rIdNativeLink11"/>
    <hyperlink ref="M12" r:id="rIdNativeLink12"/>
    <hyperlink ref="L13" r:id="rIdNativeLink13"/>
    <hyperlink ref="M13" r:id="rIdNativeLink14"/>
    <hyperlink ref="L14" r:id="rIdNativeLink15"/>
    <hyperlink ref="M14" r:id="rIdNativeLink16"/>
    <hyperlink ref="L15" r:id="rIdNativeLink17"/>
    <hyperlink ref="M15" r:id="rIdNativeLink18"/>
    <hyperlink ref="L16" r:id="rIdNativeLink19"/>
    <hyperlink ref="M16" r:id="rIdNativeLink20"/>
    <hyperlink ref="L17" r:id="rIdNativeLink21"/>
    <hyperlink ref="M17" r:id="rIdNativeLink22"/>
    <hyperlink ref="L18" r:id="rIdNativeLink23"/>
    <hyperlink ref="M18" r:id="rIdNativeLink24"/>
    <hyperlink ref="L19" r:id="rIdNativeLink25"/>
    <hyperlink ref="M19" r:id="rIdNativeLink26"/>
    <hyperlink ref="L20" r:id="rIdNativeLink27"/>
    <hyperlink ref="M20" r:id="rIdNativeLink28"/>
    <hyperlink ref="L21" r:id="rIdNativeLink29"/>
    <hyperlink ref="M21" r:id="rIdNativeLink30"/>
    <hyperlink ref="L22" r:id="rIdNativeLink31"/>
    <hyperlink ref="M22" r:id="rIdNativeLink32"/>
    <hyperlink ref="L23" r:id="rIdNativeLink33"/>
    <hyperlink ref="M23" r:id="rIdNativeLink34"/>
    <hyperlink ref="L24" r:id="rIdNativeLink35"/>
    <hyperlink ref="M24" r:id="rIdNativeLink36"/>
    <hyperlink ref="L25" r:id="rIdNativeLink37"/>
    <hyperlink ref="M25" r:id="rIdNativeLink38"/>
    <hyperlink ref="L26" r:id="rIdNativeLink39"/>
    <hyperlink ref="M26" r:id="rIdNativeLink40"/>
    <hyperlink ref="L27" r:id="rIdNativeLink41"/>
    <hyperlink ref="M27" r:id="rIdNativeLink42"/>
    <hyperlink ref="L28" r:id="rIdNativeLink43"/>
    <hyperlink ref="M28" r:id="rIdNativeLink44"/>
    <hyperlink ref="L29" r:id="rIdNativeLink45"/>
    <hyperlink ref="M29" r:id="rIdNativeLink46"/>
    <hyperlink ref="L30" r:id="rIdNativeLink47"/>
    <hyperlink ref="M30" r:id="rIdNativeLink48"/>
    <hyperlink ref="L31" r:id="rIdNativeLink49"/>
    <hyperlink ref="M31" r:id="rIdNativeLink50"/>
    <hyperlink ref="L32" r:id="rIdNativeLink51"/>
    <hyperlink ref="M32" r:id="rIdNativeLink52"/>
    <hyperlink ref="L33" r:id="rIdNativeLink53"/>
    <hyperlink ref="M33" r:id="rIdNativeLink54"/>
    <hyperlink ref="L34" r:id="rIdNativeLink55"/>
    <hyperlink ref="M34" r:id="rIdNativeLink56"/>
    <hyperlink ref="L35" r:id="rIdNativeLink57"/>
    <hyperlink ref="M35" r:id="rIdNativeLink58"/>
    <hyperlink ref="L36" r:id="rIdNativeLink59"/>
    <hyperlink ref="M36" r:id="rIdNativeLink60"/>
    <hyperlink ref="L37" r:id="rIdNativeLink61"/>
    <hyperlink ref="M37" r:id="rIdNativeLink62"/>
    <hyperlink ref="L38" r:id="rIdNativeLink63"/>
    <hyperlink ref="M38" r:id="rIdNativeLink64"/>
    <hyperlink ref="L39" r:id="rIdNativeLink65"/>
    <hyperlink ref="M39" r:id="rIdNativeLink66"/>
    <hyperlink ref="L40" r:id="rIdNativeLink67"/>
    <hyperlink ref="L41" r:id="rIdNativeLink68"/>
    <hyperlink ref="L42" r:id="rIdNativeLink69"/>
    <hyperlink ref="M42" r:id="rIdNativeLink70"/>
    <hyperlink ref="L43" r:id="rIdNativeLink71"/>
    <hyperlink ref="M43" r:id="rIdNativeLink72"/>
    <hyperlink ref="L44" r:id="rIdNativeLink73"/>
    <hyperlink ref="M44" r:id="rIdNativeLink74"/>
    <hyperlink ref="L45" r:id="rIdNativeLink75"/>
    <hyperlink ref="M45" r:id="rIdNativeLink76"/>
    <hyperlink ref="L46" r:id="rIdNativeLink77"/>
    <hyperlink ref="M46" r:id="rIdNativeLink78"/>
    <hyperlink ref="L47" r:id="rIdNativeLink79"/>
    <hyperlink ref="M47" r:id="rIdNativeLink80"/>
  </hyperlinks>
  <pageMargins left="0.7" right="0.7" top="0.75" bottom="0.75" header="0.3" footer="0.3"/>
  <tableParts count="1">
    <tablePart r:id="Rff9763263c194dc4"/>
  </tableParts>
</worksheet>
</file>

<file path=xl/worksheets/sheet3.xml><?xml version="1.0" encoding="utf-8"?>
<x:worksheet xmlns:x="http://schemas.openxmlformats.org/spreadsheetml/2006/main">
  <x:sheetPr>
    <x:tabColor rgb="FFA397BB"/>
  </x:sheetPr>
  <x:sheetViews>
    <x:sheetView showGridLines="0" workbookViewId="0">
      <x:pane xSplit="2" ySplit="6" topLeftCell="C7" activePane="bottomRight" state="frozen"/>
    </x:sheetView>
  </x:sheetViews>
  <x:sheetFormatPr defaultRowHeight="15"/>
  <x:cols>
    <x:col min="1" max="1" width="16.670000076293945" hidden="0" customWidth="1"/>
    <x:col min="2" max="2" width="7.78000020980835" hidden="0" customWidth="1"/>
    <x:col min="3" max="3" width="33.33000183105469" hidden="0" customWidth="1"/>
    <x:col min="4" max="4" width="15.5600004196167" hidden="0" customWidth="1"/>
    <x:col min="5" max="5" width="42.220001220703125" hidden="0" customWidth="1"/>
    <x:col min="6" max="6" width="46.66999816894531" hidden="0" customWidth="1"/>
    <x:col min="7" max="7" width="35.560001373291016" hidden="0" customWidth="1"/>
  </x:cols>
  <x:sheetData>
    <x:row r="1" ht="10.5" customHeight="1">
      <x:c r="A1" s="2"/>
      <x:c r="B1" s="2"/>
      <x:c r="C1" s="2"/>
      <x:c r="D1" s="2"/>
      <x:c r="E1" s="2"/>
      <x:c r="F1" s="2"/>
      <x:c r="G1" s="2"/>
    </x:row>
    <x:row r="2" ht="25.5" customHeight="1">
      <x:c r="A2" s="4" t="str">
        <x:v>任务输入覆盖与缺口</x:v>
      </x:c>
      <x:c r="B2" s="5"/>
      <x:c r="C2" s="5"/>
      <x:c r="D2" s="5"/>
      <x:c r="E2" s="5"/>
      <x:c r="F2" s="5"/>
      <x:c r="G2" s="5"/>
    </x:row>
    <x:row r="3" ht="17.25" customHeight="1">
      <x:c r="A3" s="2" t="str">
        <x:v>36 项输入要求逐项核对；公开材料不替代授权模型、流水、TB 或案件卷宗。</x:v>
      </x:c>
      <x:c r="B3" s="2"/>
      <x:c r="C3" s="2"/>
      <x:c r="D3" s="2"/>
      <x:c r="E3" s="2"/>
      <x:c r="F3" s="2"/>
      <x:c r="G3" s="2"/>
    </x:row>
    <x:row r="4" ht="17.25" customHeight="1">
      <x:c r="A4" s="2" t="str">
        <x:v>该表用于选材和补件；完整任务试做与模型污染基线尚未执行。</x:v>
      </x:c>
      <x:c r="B4" s="2"/>
      <x:c r="C4" s="2"/>
      <x:c r="D4" s="2"/>
      <x:c r="E4" s="2"/>
      <x:c r="F4" s="2"/>
      <x:c r="G4" s="2"/>
    </x:row>
    <x:row r="5" ht="17.25" customHeight="1">
      <x:c r="A5" s="2"/>
      <x:c r="B5" s="2"/>
      <x:c r="C5" s="2"/>
      <x:c r="D5" s="2"/>
      <x:c r="E5" s="2"/>
      <x:c r="F5" s="2"/>
      <x:c r="G5" s="2"/>
    </x:row>
    <x:row r="6" ht="24" customHeight="1">
      <x:c r="A6" s="14" t="str">
        <x:v>卡片</x:v>
      </x:c>
      <x:c r="B6" s="15" t="str">
        <x:v>输入项</x:v>
      </x:c>
      <x:c r="C6" s="15" t="str">
        <x:v>所需输入</x:v>
      </x:c>
      <x:c r="D6" s="15" t="str">
        <x:v>覆盖情况</x:v>
      </x:c>
      <x:c r="E6" s="15" t="str">
        <x:v>已取得内容</x:v>
      </x:c>
      <x:c r="F6" s="15" t="str">
        <x:v>仍需补充</x:v>
      </x:c>
      <x:c r="G6" s="16" t="str">
        <x:v>材料编号</x:v>
      </x:c>
    </x:row>
    <x:row r="7" ht="88.5" customHeight="1">
      <x:c r="A7" s="19" t="str">
        <x:v>FIN-F01-001</x:v>
      </x:c>
      <x:c r="B7" s="19" t="n">
        <x:v>1</x:v>
      </x:c>
      <x:c r="C7" s="19" t="str">
        <x:v>同一公司的多期财报、附注及更正公告</x:v>
      </x:c>
      <x:c r="D7" s="19" t="str">
        <x:v>部分覆盖</x:v>
      </x:c>
      <x:c r="E7" s="19" t="str">
        <x:v>已取得2025年报、2026半年报及另一主体的真实更正链；各主体单独使用</x:v>
      </x:c>
      <x:c r="F7" s="19" t="str">
        <x:v>尚缺既有多期模型；历史比较列不能等同多期完整原件</x:v>
      </x:c>
      <x:c r="G7" s="19" t="str">
        <x:v>CN-1225203635
CN-1225495975
CN-1225248741
CN-1225460245
CN-1225460240
CN-1225460243</x:v>
      </x:c>
    </x:row>
    <x:row r="8" ht="43.5" customHeight="1">
      <x:c r="A8" s="20" t="str">
        <x:v>FIN-F01-001</x:v>
      </x:c>
      <x:c r="B8" s="20" t="n">
        <x:v>2</x:v>
      </x:c>
      <x:c r="C8" s="20" t="str">
        <x:v>既有三表模型和经授权的经营预算或预测假设</x:v>
      </x:c>
      <x:c r="D8" s="20" t="str">
        <x:v>待取得</x:v>
      </x:c>
      <x:c r="E8" s="20" t="str">
        <x:v>公开材料没有企业批准的模型和经营预算</x:v>
      </x:c>
      <x:c r="F8" s="20" t="str">
        <x:v>需授权既有三表模型、批准假设与更新前版本</x:v>
      </x:c>
      <x:c r="G8" s="20" t="str"/>
    </x:row>
    <x:row r="9" ht="43.5" customHeight="1">
      <x:c r="A9" s="19" t="str">
        <x:v>FIN-F01-001</x:v>
      </x:c>
      <x:c r="B9" s="19" t="n">
        <x:v>3</x:v>
      </x:c>
      <x:c r="C9" s="19" t="str">
        <x:v>债务、资本开支及分红的相关披露</x:v>
      </x:c>
      <x:c r="D9" s="19" t="str">
        <x:v>部分覆盖</x:v>
      </x:c>
      <x:c r="E9" s="19" t="str">
        <x:v>财报内债务、资本开支、分红披露</x:v>
      </x:c>
      <x:c r="F9" s="19" t="str">
        <x:v>需更新截止日逐笔台账与获批准资本开支假设</x:v>
      </x:c>
      <x:c r="G9" s="19" t="str">
        <x:v>CN-1225203635
CN-1225495975</x:v>
      </x:c>
    </x:row>
    <x:row r="10" ht="43.5" customHeight="1">
      <x:c r="A10" s="20" t="str">
        <x:v>FIN-F02-001</x:v>
      </x:c>
      <x:c r="B10" s="20" t="n">
        <x:v>1</x:v>
      </x:c>
      <x:c r="C10" s="20" t="str">
        <x:v>招股说明书（含历史版本）</x:v>
      </x:c>
      <x:c r="D10" s="20" t="str">
        <x:v>公共部分已取得</x:v>
      </x:c>
      <x:c r="E10" s="20" t="str">
        <x:v>上会稿与注册稿形成公开版本链</x:v>
      </x:c>
      <x:c r="F10" s="20" t="str">
        <x:v>当前包最早招股版本为2025-10-30；缺初始申报稿</x:v>
      </x:c>
      <x:c r="G10" s="20" t="str">
        <x:v>SSE-ZHIXIN-PROSPECTUS-20251030
SSE-ZHIXIN-PROSPECTUS-20251114</x:v>
      </x:c>
    </x:row>
    <x:row r="11" ht="43.5" customHeight="1">
      <x:c r="A11" s="19" t="str">
        <x:v>FIN-F02-001</x:v>
      </x:c>
      <x:c r="B11" s="19" t="n">
        <x:v>2</x:v>
      </x:c>
      <x:c r="C11" s="19" t="str">
        <x:v>审计报告及财务报表</x:v>
      </x:c>
      <x:c r="D11" s="19" t="str">
        <x:v>公共部分已取得</x:v>
      </x:c>
      <x:c r="E11" s="19" t="str">
        <x:v>已取得同一发行人的完整申报审计原件及首24页OCR</x:v>
      </x:c>
      <x:c r="F11" s="19" t="str">
        <x:v>缺合同、凭证、流水等审计底稿</x:v>
      </x:c>
      <x:c r="G11" s="19" t="str">
        <x:v>SSE-ZHIXIN-AUDIT-20251030</x:v>
      </x:c>
    </x:row>
    <x:row r="12" ht="43.5" customHeight="1">
      <x:c r="A12" s="20" t="str">
        <x:v>FIN-F02-001</x:v>
      </x:c>
      <x:c r="B12" s="20" t="n">
        <x:v>3</x:v>
      </x:c>
      <x:c r="C12" s="20" t="str">
        <x:v>法律意见书及律师工作报告</x:v>
      </x:c>
      <x:c r="D12" s="20" t="str">
        <x:v>公共部分已取得</x:v>
      </x:c>
      <x:c r="E12" s="20" t="str">
        <x:v>同一项目法律意见书原件含相关律师工作内容</x:v>
      </x:c>
      <x:c r="F12" s="20" t="str">
        <x:v>不能当作全部律师内部工作底稿</x:v>
      </x:c>
      <x:c r="G12" s="20" t="str">
        <x:v>SSE-ZHIXIN-LEGAL-20251030</x:v>
      </x:c>
    </x:row>
    <x:row r="13" ht="43.5" customHeight="1">
      <x:c r="A13" s="19" t="str">
        <x:v>FIN-F02-001</x:v>
      </x:c>
      <x:c r="B13" s="19" t="n">
        <x:v>4</x:v>
      </x:c>
      <x:c r="C13" s="19" t="str">
        <x:v>历轮问询函及回复文件</x:v>
      </x:c>
      <x:c r="D13" s="19" t="str">
        <x:v>部分覆盖</x:v>
      </x:c>
      <x:c r="E13" s="19" t="str">
        <x:v>两轮回复原件内重述问询问题</x:v>
      </x:c>
      <x:c r="F13" s="19" t="str">
        <x:v>缺独立问询函；现轮回复及后续版本需隔离后方可用于事前起草</x:v>
      </x:c>
      <x:c r="G13" s="19" t="str">
        <x:v>SSE-ZHIXIN-REPLY1-20250901
SSE-ZHIXIN-REPLY2-20251010</x:v>
      </x:c>
    </x:row>
    <x:row r="14" ht="43.5" customHeight="1">
      <x:c r="A14" s="20" t="str">
        <x:v>FIN-F03-002</x:v>
      </x:c>
      <x:c r="B14" s="20" t="n">
        <x:v>1</x:v>
      </x:c>
      <x:c r="C14" s="20" t="str">
        <x:v>贷款申请、用途说明和真实经营资料</x:v>
      </x:c>
      <x:c r="D14" s="20" t="str">
        <x:v>待取得</x:v>
      </x:c>
      <x:c r="E14" s="20" t="str">
        <x:v>未取得借款人授权申请资料</x:v>
      </x:c>
      <x:c r="F14" s="20" t="str">
        <x:v>缺申请、贷款用途和真实经营说明</x:v>
      </x:c>
      <x:c r="G14" s="20" t="str"/>
    </x:row>
    <x:row r="15" ht="43.5" customHeight="1">
      <x:c r="A15" s="19" t="str">
        <x:v>FIN-F03-002</x:v>
      </x:c>
      <x:c r="B15" s="19" t="n">
        <x:v>2</x:v>
      </x:c>
      <x:c r="C15" s="19" t="str">
        <x:v>财报、附注、往来和存货明细及经营预测</x:v>
      </x:c>
      <x:c r="D15" s="19" t="str">
        <x:v>部分覆盖</x:v>
      </x:c>
      <x:c r="E15" s="19" t="str">
        <x:v>已取得公司合并与母公司三表及往来、存货披露</x:v>
      </x:c>
      <x:c r="F15" s="19" t="str">
        <x:v>缺应收/应付/存货明细、经营预算及周转计算口径</x:v>
      </x:c>
      <x:c r="G15" s="19" t="str">
        <x:v>CN-1225203635
CN-1225495975</x:v>
      </x:c>
    </x:row>
    <x:row r="16" ht="43.5" customHeight="1">
      <x:c r="A16" s="20" t="str">
        <x:v>FIN-F03-002</x:v>
      </x:c>
      <x:c r="B16" s="20" t="n">
        <x:v>3</x:v>
      </x:c>
      <x:c r="C16" s="20" t="str">
        <x:v>存量授信、借款、担保与其他营运融资记录</x:v>
      </x:c>
      <x:c r="D16" s="20" t="str">
        <x:v>部分覆盖</x:v>
      </x:c>
      <x:c r="E16" s="20" t="str">
        <x:v>财报附注含借款、担保与融资披露</x:v>
      </x:c>
      <x:c r="F16" s="20" t="str">
        <x:v>缺调查截止日逐笔授信余额、未用额度及保证金等融资扣减台账</x:v>
      </x:c>
      <x:c r="G16" s="20" t="str">
        <x:v>CN-1225203635
CN-1225495975</x:v>
      </x:c>
    </x:row>
    <x:row r="17" ht="43.5" customHeight="1">
      <x:c r="A17" s="19" t="str">
        <x:v>FIN-F03-002</x:v>
      </x:c>
      <x:c r="B17" s="19" t="n">
        <x:v>4</x:v>
      </x:c>
      <x:c r="C17" s="19" t="str">
        <x:v>适用贷款管理办法及银行测算方法</x:v>
      </x:c>
      <x:c r="D17" s="19" t="str">
        <x:v>待取得</x:v>
      </x:c>
      <x:c r="E17" s="19" t="str">
        <x:v>现有卡片证据有公开管理办法线索，本批未替代银行规则</x:v>
      </x:c>
      <x:c r="F17" s="19" t="str">
        <x:v>仍需适用版本正式办法和经授权银行内部测算方法</x:v>
      </x:c>
      <x:c r="G17" s="19" t="str"/>
    </x:row>
    <x:row r="18" ht="50.25" customHeight="1">
      <x:c r="A18" s="20" t="str">
        <x:v>FIN-F04-001</x:v>
      </x:c>
      <x:c r="B18" s="20" t="n">
        <x:v>1</x:v>
      </x:c>
      <x:c r="C18" s="20" t="str">
        <x:v>募集说明书、受托协议及回售或兑付公告</x:v>
      </x:c>
      <x:c r="D18" s="20" t="str">
        <x:v>部分覆盖</x:v>
      </x:c>
      <x:c r="E18" s="20" t="str">
        <x:v>集团发行人受托年报、23申宏04（148449）2026兑付公告</x:v>
      </x:c>
      <x:c r="F18" s="20" t="str">
        <x:v>缺募集说明书及受托协议全文；不混入申万宏源证券子公司债</x:v>
      </x:c>
      <x:c r="G18" s="20" t="str">
        <x:v>CN-1225045474
CN-1225398819
CN-1225545737</x:v>
      </x:c>
    </x:row>
    <x:row r="19" ht="43.5" customHeight="1">
      <x:c r="A19" s="19" t="str">
        <x:v>FIN-F04-001</x:v>
      </x:c>
      <x:c r="B19" s="19" t="n">
        <x:v>2</x:v>
      </x:c>
      <x:c r="C19" s="19" t="str">
        <x:v>财务报告、资金安排反馈及资金证明</x:v>
      </x:c>
      <x:c r="D19" s="19" t="str">
        <x:v>部分覆盖</x:v>
      </x:c>
      <x:c r="E19" s="19" t="str">
        <x:v>集团财报、公开资金划付安排</x:v>
      </x:c>
      <x:c r="F19" s="19" t="str">
        <x:v>公告是安排，不能证明已足额到账；缺银行回单及发行人反馈</x:v>
      </x:c>
      <x:c r="G19" s="19" t="str">
        <x:v>CN-1225045474
CN-1225545737</x:v>
      </x:c>
    </x:row>
    <x:row r="20" ht="43.5" customHeight="1">
      <x:c r="A20" s="20" t="str">
        <x:v>FIN-F04-001</x:v>
      </x:c>
      <x:c r="B20" s="20" t="n">
        <x:v>3</x:v>
      </x:c>
      <x:c r="C20" s="20" t="str">
        <x:v>辖区监管通知、报送模板及重大事项记录</x:v>
      </x:c>
      <x:c r="D20" s="20" t="str">
        <x:v>公共部分已取得</x:v>
      </x:c>
      <x:c r="E20" s="20" t="str">
        <x:v>新疆辖区2026通知及原生Excel排查表</x:v>
      </x:c>
      <x:c r="F20" s="20" t="str">
        <x:v>原表范围异常且邮箱与正文不一致；使用前确认；非全国统一要求</x:v>
      </x:c>
      <x:c r="G20" s="20" t="str">
        <x:v>CSRC-XJ-DEBT-NOTICE-20260609
CSRC-XJ-FUNDING-FORM-20260609</x:v>
      </x:c>
    </x:row>
    <x:row r="21" ht="88.5" customHeight="1">
      <x:c r="A21" s="19" t="str">
        <x:v>FIN-F13-002</x:v>
      </x:c>
      <x:c r="B21" s="19" t="n">
        <x:v>1</x:v>
      </x:c>
      <x:c r="C21" s="19" t="str">
        <x:v>企业批准的套保策略、授权和资金限额</x:v>
      </x:c>
      <x:c r="D21" s="19" t="str">
        <x:v>公共部分已取得</x:v>
      </x:c>
      <x:c r="E21" s="19" t="str">
        <x:v>2025及2026两轮提案、已通过股东授权与公开制度</x:v>
      </x:c>
      <x:c r="F21" s="19" t="str">
        <x:v>2026H1使用2025-08-14通过的授权；不追溯套用2026-08-21新额度</x:v>
      </x:c>
      <x:c r="G21" s="19" t="str">
        <x:v>CN-1224318011
CN-1224318016
CN-1224486549
CN-1225451854
CN-1225451855
CN-1225491061</x:v>
      </x:c>
    </x:row>
    <x:row r="22" ht="43.5" customHeight="1">
      <x:c r="A22" s="20" t="str">
        <x:v>FIN-F13-002</x:v>
      </x:c>
      <x:c r="B22" s="20" t="n">
        <x:v>2</x:v>
      </x:c>
      <x:c r="C22" s="20" t="str">
        <x:v>现货采购、销售、库存及作价记录</x:v>
      </x:c>
      <x:c r="D22" s="20" t="str">
        <x:v>待取得</x:v>
      </x:c>
      <x:c r="E22" s="20" t="str">
        <x:v>公开半年报提供汇总效果，未提供逐笔现货记录</x:v>
      </x:c>
      <x:c r="F22" s="20" t="str">
        <x:v>缺采购、销售、库存、定价日、数量与作价台账</x:v>
      </x:c>
      <x:c r="G22" s="20" t="str"/>
    </x:row>
    <x:row r="23" ht="43.5" customHeight="1">
      <x:c r="A23" s="19" t="str">
        <x:v>FIN-F13-002</x:v>
      </x:c>
      <x:c r="B23" s="19" t="n">
        <x:v>3</x:v>
      </x:c>
      <x:c r="C23" s="19" t="str">
        <x:v>成交、持仓、结算和资金快照</x:v>
      </x:c>
      <x:c r="D23" s="19" t="str">
        <x:v>部分覆盖</x:v>
      </x:c>
      <x:c r="E23" s="19" t="str">
        <x:v>半年报提供持仓/衍生品及套期会计汇总披露</x:v>
      </x:c>
      <x:c r="F23" s="19" t="str">
        <x:v>缺成交、持仓、结算、保证金账户与适用交易所参数快照</x:v>
      </x:c>
      <x:c r="G23" s="19" t="str">
        <x:v>CN-1225495975</x:v>
      </x:c>
    </x:row>
    <x:row r="24" ht="43.5" customHeight="1">
      <x:c r="A24" s="20" t="str">
        <x:v>FIN-F17-001</x:v>
      </x:c>
      <x:c r="B24" s="20" t="n">
        <x:v>1</x:v>
      </x:c>
      <x:c r="C24" s="20" t="str">
        <x:v>原始试算平衡、科目映射及差异底稿</x:v>
      </x:c>
      <x:c r="D24" s="20" t="str">
        <x:v>待取得</x:v>
      </x:c>
      <x:c r="E24" s="20" t="str">
        <x:v>不能把公开更正前报表作为原始试算平衡表</x:v>
      </x:c>
      <x:c r="F24" s="20" t="str">
        <x:v>缺TB、科目映射、错报形成记录与底层凭证</x:v>
      </x:c>
      <x:c r="G24" s="20" t="str"/>
    </x:row>
    <x:row r="25" ht="50.25" customHeight="1">
      <x:c r="A25" s="19" t="str">
        <x:v>FIN-F17-001</x:v>
      </x:c>
      <x:c r="B25" s="19" t="n">
        <x:v>2</x:v>
      </x:c>
      <x:c r="C25" s="19" t="str">
        <x:v>更正、未更正及客户入账确认记录</x:v>
      </x:c>
      <x:c r="D25" s="19" t="str">
        <x:v>部分覆盖</x:v>
      </x:c>
      <x:c r="E25" s="19" t="str">
        <x:v>更正公告、更正后报表及会计师专项审核报告形成结果链</x:v>
      </x:c>
      <x:c r="F25" s="19" t="str">
        <x:v>这些是事后结果；缺报告签发前客户入账确认、未更正错报记录</x:v>
      </x:c>
      <x:c r="G25" s="19" t="str">
        <x:v>CN-1225460245
CN-1225460240
CN-1225460243</x:v>
      </x:c>
    </x:row>
    <x:row r="26" ht="43.5" customHeight="1">
      <x:c r="A26" s="20" t="str">
        <x:v>FIN-F17-001</x:v>
      </x:c>
      <x:c r="B26" s="20" t="n">
        <x:v>3</x:v>
      </x:c>
      <x:c r="C26" s="20" t="str">
        <x:v>审计重要性及适用报告基础和准则</x:v>
      </x:c>
      <x:c r="D26" s="20" t="str">
        <x:v>待取得</x:v>
      </x:c>
      <x:c r="E26" s="20" t="str">
        <x:v>公开报告不披露项目批准的重要性</x:v>
      </x:c>
      <x:c r="F26" s="20" t="str">
        <x:v>缺项目重要性、计划、适用报告基础和准则版本</x:v>
      </x:c>
      <x:c r="G26" s="20" t="str"/>
    </x:row>
    <x:row r="27" ht="50.25" customHeight="1">
      <x:c r="A27" s="19" t="str">
        <x:v>LAW-L01-002</x:v>
      </x:c>
      <x:c r="B27" s="19" t="n">
        <x:v>1</x:v>
      </x:c>
      <x:c r="C27" s="19" t="str">
        <x:v>待签合同、附件及此前审改版本</x:v>
      </x:c>
      <x:c r="D27" s="19" t="str">
        <x:v>部分覆盖</x:v>
      </x:c>
      <x:c r="E27" s="19" t="str">
        <x:v>真实项目专用合同Word、采购需求Word和全套招标文件</x:v>
      </x:c>
      <x:c r="F27" s="19" t="str">
        <x:v>合同为未签模板，仍有CZ2026-xxxx占位；缺前轮审改稿、完整签署附件</x:v>
      </x:c>
      <x:c r="G27" s="19" t="str">
        <x:v>GZ-CZ20260463-CONTRACT
GZ-CZ20260463-REQUIREMENTS
GZ-CZ20260463-TENDER</x:v>
      </x:c>
    </x:row>
    <x:row r="28" ht="43.5" customHeight="1">
      <x:c r="A28" s="20" t="str">
        <x:v>LAW-L01-002</x:v>
      </x:c>
      <x:c r="B28" s="20" t="n">
        <x:v>2</x:v>
      </x:c>
      <x:c r="C28" s="20" t="str">
        <x:v>商务要求、招采或响应文件及谈判反馈</x:v>
      </x:c>
      <x:c r="D28" s="20" t="str">
        <x:v>部分覆盖</x:v>
      </x:c>
      <x:c r="E28" s="20" t="str">
        <x:v>采购需求与实际项目招标条件</x:v>
      </x:c>
      <x:c r="F28" s="20" t="str">
        <x:v>缺中标响应、谈判确认与业务立场；合同分包条款需与采购条件核对</x:v>
      </x:c>
      <x:c r="G28" s="20" t="str">
        <x:v>GZ-CZ20260463-REQUIREMENTS
GZ-CZ20260463-TENDER</x:v>
      </x:c>
    </x:row>
    <x:row r="29" ht="43.5" customHeight="1">
      <x:c r="A29" s="19" t="str">
        <x:v>LAW-L01-002</x:v>
      </x:c>
      <x:c r="B29" s="19" t="n">
        <x:v>3</x:v>
      </x:c>
      <x:c r="C29" s="19" t="str">
        <x:v>适用规范及内部审查要求</x:v>
      </x:c>
      <x:c r="D29" s="19" t="str">
        <x:v>部分覆盖</x:v>
      </x:c>
      <x:c r="E29" s="19" t="str">
        <x:v>招标文件列示采购规范与审查条件</x:v>
      </x:c>
      <x:c r="F29" s="19" t="str">
        <x:v>需事项时点正式法源与委托方内审要求</x:v>
      </x:c>
      <x:c r="G29" s="19" t="str">
        <x:v>GZ-CZ20260463-REQUIREMENTS
GZ-CZ20260463-TENDER</x:v>
      </x:c>
    </x:row>
    <x:row r="30" ht="43.5" customHeight="1">
      <x:c r="A30" s="20" t="str">
        <x:v>LAW-L02-002</x:v>
      </x:c>
      <x:c r="B30" s="20" t="n">
        <x:v>1</x:v>
      </x:c>
      <x:c r="C30" s="20" t="str">
        <x:v>授权的合同、付款、履行、通知和往来材料</x:v>
      </x:c>
      <x:c r="D30" s="20" t="str">
        <x:v>仅补充线索</x:v>
      </x:c>
      <x:c r="E30" s="20" t="str">
        <x:v>原始上市公司诉讼披露用于案号、诉请及流程线索</x:v>
      </x:c>
      <x:c r="F30" s="20" t="str">
        <x:v>不含合同、付款、履行及通知原件；不能充当原始卷宗</x:v>
      </x:c>
      <x:c r="G30" s="20" t="str">
        <x:v>CN-1225489930</x:v>
      </x:c>
    </x:row>
    <x:row r="31" ht="43.5" customHeight="1">
      <x:c r="A31" s="19" t="str">
        <x:v>LAW-L02-002</x:v>
      </x:c>
      <x:c r="B31" s="19" t="n">
        <x:v>2</x:v>
      </x:c>
      <x:c r="C31" s="19" t="str">
        <x:v>诉辩请求、委托说明及对方已提交材料</x:v>
      </x:c>
      <x:c r="D31" s="19" t="str">
        <x:v>仅补充线索</x:v>
      </x:c>
      <x:c r="E31" s="19" t="str">
        <x:v>包含当事人地位、诉请和部分程序信息</x:v>
      </x:c>
      <x:c r="F31" s="19" t="str">
        <x:v>缺完整诉辩文书、委托说明和对方证据</x:v>
      </x:c>
      <x:c r="G31" s="19" t="str">
        <x:v>CN-1225489930</x:v>
      </x:c>
    </x:row>
    <x:row r="32" ht="43.5" customHeight="1">
      <x:c r="A32" s="20" t="str">
        <x:v>LAW-L02-002</x:v>
      </x:c>
      <x:c r="B32" s="20" t="n">
        <x:v>3</x:v>
      </x:c>
      <x:c r="C32" s="20" t="str">
        <x:v>实体和程序规范及举证通知</x:v>
      </x:c>
      <x:c r="D32" s="20" t="str">
        <x:v>待取得</x:v>
      </x:c>
      <x:c r="E32" s="20" t="str">
        <x:v>未取得对应案号的举证通知和完整适用规范</x:v>
      </x:c>
      <x:c r="F32" s="20" t="str">
        <x:v>需授权法院程序文件；公告旧案结果另行隔离</x:v>
      </x:c>
      <x:c r="G32" s="20" t="str"/>
    </x:row>
    <x:row r="33" ht="43.5" customHeight="1">
      <x:c r="A33" s="19" t="str">
        <x:v>LAW-L03-001</x:v>
      </x:c>
      <x:c r="B33" s="19" t="n">
        <x:v>1</x:v>
      </x:c>
      <x:c r="C33" s="19" t="str">
        <x:v>委托范围、交易概要及目标公司业务说明</x:v>
      </x:c>
      <x:c r="D33" s="19" t="str">
        <x:v>部分覆盖</x:v>
      </x:c>
      <x:c r="E33" s="19" t="str">
        <x:v>同一2026收购40%股权交易的草案、修订稿及概要</x:v>
      </x:c>
      <x:c r="F33" s="19" t="str">
        <x:v>缺委托范围与内部交易说明；不与2025收购60%混组</x:v>
      </x:c>
      <x:c r="G33" s="19" t="str">
        <x:v>CN-1225327554
CN-1225449388</x:v>
      </x:c>
    </x:row>
    <x:row r="34" ht="114" customHeight="1">
      <x:c r="A34" s="20" t="str">
        <x:v>LAW-L03-001</x:v>
      </x:c>
      <x:c r="B34" s="20" t="n">
        <x:v>2</x:v>
      </x:c>
      <x:c r="C34" s="20" t="str">
        <x:v>数据室索引及已提供公司、股权、合同、许可等资料</x:v>
      </x:c>
      <x:c r="D34" s="20" t="str">
        <x:v>部分覆盖</x:v>
      </x:c>
      <x:c r="E34" s="20" t="str">
        <x:v>同标的两期审计、两版法律意见、交易披露、许可/产权信息</x:v>
      </x:c>
      <x:c r="F34" s="20" t="str">
        <x:v>不含数据室原始索引、完整公司档案和许可/合同原件</x:v>
      </x:c>
      <x:c r="G34" s="20" t="str">
        <x:v>CN-1225327554
CN-1225449388
CN-1225327559
CN-1225449382
CN-1225327560
CN-1225449390
CN-1225449376
CN-1225449371</x:v>
      </x:c>
    </x:row>
    <x:row r="35" ht="43.5" customHeight="1">
      <x:c r="A35" s="19" t="str">
        <x:v>LAW-L03-001</x:v>
      </x:c>
      <x:c r="B35" s="19" t="n">
        <x:v>3</x:v>
      </x:c>
      <x:c r="C35" s="19" t="str">
        <x:v>上轮需求清单及目标公司回复</x:v>
      </x:c>
      <x:c r="D35" s="19" t="str">
        <x:v>仅补充线索</x:v>
      </x:c>
      <x:c r="E35" s="19" t="str">
        <x:v>公开问询回复和修订说明可提供补充事项线索</x:v>
      </x:c>
      <x:c r="F35" s="19" t="str">
        <x:v>不能当作上轮真实资料清单与数据室逐项回复</x:v>
      </x:c>
      <x:c r="G35" s="19" t="str">
        <x:v>CN-1225449376
CN-1225449371</x:v>
      </x:c>
    </x:row>
    <x:row r="36" ht="63" customHeight="1">
      <x:c r="A36" s="20" t="str">
        <x:v>LAW-L04-001</x:v>
      </x:c>
      <x:c r="B36" s="20" t="n">
        <x:v>1</x:v>
      </x:c>
      <x:c r="C36" s="20" t="str">
        <x:v>法院受理公告、管理人申报通知及模板</x:v>
      </x:c>
      <x:c r="D36" s="20" t="str">
        <x:v>公共部分已取得</x:v>
      </x:c>
      <x:c r="E36" s="20" t="str">
        <x:v>2026-10-08原始管理人指引及三份Word表单</x:v>
      </x:c>
      <x:c r="F36" s="20" t="str">
        <x:v>指引记载受理2026-09-02；仍缺法院受理裁定原件及完整授权/送达表</x:v>
      </x:c>
      <x:c r="G36" s="20" t="str">
        <x:v>COURT-ZHENXIN-GUIDE
COURT-ZHENXIN-CLAIM
COURT-ZHENXIN-LIST
COURT-ZHENXIN-REGISTER</x:v>
      </x:c>
    </x:row>
    <x:row r="37" ht="43.5" customHeight="1">
      <x:c r="A37" s="19" t="str">
        <x:v>LAW-L04-001</x:v>
      </x:c>
      <x:c r="B37" s="19" t="n">
        <x:v>2</x:v>
      </x:c>
      <x:c r="C37" s="19" t="str">
        <x:v>合同、债权转移、履行和偿付证明</x:v>
      </x:c>
      <x:c r="D37" s="19" t="str">
        <x:v>待取得</x:v>
      </x:c>
      <x:c r="E37" s="19" t="str">
        <x:v>空表并不含实际债权事实</x:v>
      </x:c>
      <x:c r="F37" s="19" t="str">
        <x:v>缺合同、债权转移、履行、还款及利息原始凭证</x:v>
      </x:c>
      <x:c r="G37" s="19" t="str"/>
    </x:row>
    <x:row r="38" ht="43.5" customHeight="1">
      <x:c r="A38" s="20" t="str">
        <x:v>LAW-L04-001</x:v>
      </x:c>
      <x:c r="B38" s="20" t="n">
        <x:v>3</x:v>
      </x:c>
      <x:c r="C38" s="20" t="str">
        <x:v>担保、抵销、诉讼执行和授权文件</x:v>
      </x:c>
      <x:c r="D38" s="20" t="str">
        <x:v>待取得</x:v>
      </x:c>
      <x:c r="E38" s="20" t="str">
        <x:v>本批未获取具体债权人的担保和程序记录</x:v>
      </x:c>
      <x:c r="F38" s="20" t="str">
        <x:v>缺担保登记、抵销、诉执及授权材料</x:v>
      </x:c>
      <x:c r="G38" s="20" t="str"/>
    </x:row>
    <x:row r="39" ht="43.5" customHeight="1">
      <x:c r="A39" s="19" t="str">
        <x:v>LAW-L04-001</x:v>
      </x:c>
      <x:c r="B39" s="19" t="n">
        <x:v>4</x:v>
      </x:c>
      <x:c r="C39" s="19" t="str">
        <x:v>适用实体法、破产规范和具体计算口径</x:v>
      </x:c>
      <x:c r="D39" s="19" t="str">
        <x:v>部分覆盖</x:v>
      </x:c>
      <x:c r="E39" s="19" t="str">
        <x:v>指引给出本案申报截止、停息与日计数说明</x:v>
      </x:c>
      <x:c r="F39" s="19" t="str">
        <x:v>其具体计算方法需要与合同、生效文书和正式法源核对，不能跨案推广</x:v>
      </x:c>
      <x:c r="G39" s="19" t="str">
        <x:v>COURT-ZHENXIN-GUIDE</x:v>
      </x:c>
    </x:row>
    <x:row r="40" ht="43.5" customHeight="1">
      <x:c r="A40" s="20" t="str">
        <x:v>LAW-L12-001</x:v>
      </x:c>
      <x:c r="B40" s="20" t="n">
        <x:v>1</x:v>
      </x:c>
      <x:c r="C40" s="20" t="str">
        <x:v>仲裁协议、适用规则及现有程序令</x:v>
      </x:c>
      <x:c r="D40" s="20" t="str">
        <x:v>仅授权受限链接</x:v>
      </x:c>
      <x:c r="E40" s="20" t="str">
        <x:v>已核对2026-06-01生效规则、2026-06出版；英文为原文</x:v>
      </x:c>
      <x:c r="F40" s="20" t="str">
        <x:v>仅链接；需分发授权、仲裁协议和现有程序令</x:v>
      </x:c>
      <x:c r="G40" s="20" t="str">
        <x:v>ICC-RULES-2026-EN
ICC-RULES-2026-ZH</x:v>
      </x:c>
    </x:row>
    <x:row r="41" ht="43.5" customHeight="1">
      <x:c r="A41" s="19" t="str">
        <x:v>LAW-L12-001</x:v>
      </x:c>
      <x:c r="B41" s="19" t="n">
        <x:v>2</x:v>
      </x:c>
      <x:c r="C41" s="19" t="str">
        <x:v>双方程序提案、准备情况和延期请求</x:v>
      </x:c>
      <x:c r="D41" s="19" t="str">
        <x:v>待取得</x:v>
      </x:c>
      <x:c r="E41" s="19" t="str">
        <x:v>尚无本案双方提案及延期请求</x:v>
      </x:c>
      <x:c r="F41" s="19" t="str">
        <x:v>需授权真实程序文件</x:v>
      </x:c>
      <x:c r="G41" s="19" t="str"/>
    </x:row>
    <x:row r="42" ht="43.5" customHeight="1">
      <x:c r="A42" s="20" t="str">
        <x:v>LAW-L12-001</x:v>
      </x:c>
      <x:c r="B42" s="20" t="n">
        <x:v>3</x:v>
      </x:c>
      <x:c r="C42" s="20" t="str">
        <x:v>已确定开庭安排、送达记录及程序日历</x:v>
      </x:c>
      <x:c r="D42" s="20" t="str">
        <x:v>待取得</x:v>
      </x:c>
      <x:c r="E42" s="20" t="str">
        <x:v>规则不能代替本案送达与日历</x:v>
      </x:c>
      <x:c r="F42" s="20" t="str">
        <x:v>需开庭安排、送达证明、节假日日历；卡片仍为candidate</x:v>
      </x:c>
      <x:c r="G42" s="20" t="str"/>
    </x:row>
  </x:sheetData>
  <x:conditionalFormatting sqref="D7:D42">
    <x:cfRule type="containsText" dxfId="2" priority="1" operator="containsText" text="待取得"/>
  </x:conditionalFormatting>
  <x:pageMargins left="0.7" right="0.7" top="0.75" bottom="0.75" header="0.3" footer="0.3"/>
  <x:tableParts count="1">
    <x:tablePart xmlns:r="http://schemas.openxmlformats.org/officeDocument/2006/relationships" r:id="R2bd71ecbdfbe4b18"/>
  </x:tableParts>
</x:worksheet>
</file>